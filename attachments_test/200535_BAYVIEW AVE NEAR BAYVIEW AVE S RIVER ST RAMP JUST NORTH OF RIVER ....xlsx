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trafic\Documents\TDCSB\PROJECT\DATA COLLECTION GROUP\6 - PROJECTS\ActiveTO\2021 MRC Weekend Counts\May 1-2\"/>
    </mc:Choice>
  </mc:AlternateContent>
  <bookViews>
    <workbookView xWindow="34890" yWindow="-1640" windowWidth="19640" windowHeight="20780"/>
  </bookViews>
  <sheets>
    <sheet name="Summary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4" i="1" l="1"/>
  <c r="P73" i="1"/>
  <c r="I74" i="1"/>
  <c r="I73" i="1"/>
  <c r="P13" i="1" l="1"/>
  <c r="Q13" i="1"/>
  <c r="P14" i="1"/>
  <c r="Q14" i="1"/>
  <c r="P15" i="1"/>
  <c r="Q15" i="1"/>
  <c r="P16" i="1"/>
  <c r="P72" i="1" s="1"/>
  <c r="Q16" i="1"/>
  <c r="Q72" i="1" s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Q12" i="1"/>
  <c r="P12" i="1"/>
  <c r="I13" i="1"/>
  <c r="J13" i="1"/>
  <c r="I14" i="1"/>
  <c r="J14" i="1"/>
  <c r="I15" i="1"/>
  <c r="J15" i="1"/>
  <c r="I16" i="1"/>
  <c r="I72" i="1" s="1"/>
  <c r="J16" i="1"/>
  <c r="J72" i="1" s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J12" i="1"/>
  <c r="I12" i="1"/>
  <c r="E72" i="1"/>
  <c r="F72" i="1"/>
  <c r="G72" i="1"/>
  <c r="H72" i="1"/>
  <c r="K72" i="1"/>
  <c r="L72" i="1"/>
  <c r="M72" i="1"/>
  <c r="N72" i="1"/>
  <c r="O72" i="1"/>
  <c r="D72" i="1" l="1"/>
  <c r="C12" i="1" l="1"/>
  <c r="A13" i="1" l="1"/>
  <c r="C13" i="1" s="1"/>
  <c r="A14" i="1" s="1"/>
  <c r="C14" i="1" s="1"/>
  <c r="A15" i="1" l="1"/>
  <c r="C15" i="1" s="1"/>
  <c r="A16" i="1" l="1"/>
  <c r="C16" i="1" s="1"/>
  <c r="A17" i="1" l="1"/>
  <c r="C17" i="1" s="1"/>
  <c r="A18" i="1" l="1"/>
  <c r="C18" i="1" s="1"/>
  <c r="A19" i="1" l="1"/>
  <c r="C19" i="1" s="1"/>
  <c r="A20" i="1" l="1"/>
  <c r="C20" i="1" s="1"/>
  <c r="A21" i="1" l="1"/>
  <c r="C21" i="1" s="1"/>
  <c r="A22" i="1" l="1"/>
  <c r="C22" i="1" s="1"/>
  <c r="A23" i="1" l="1"/>
  <c r="C23" i="1" s="1"/>
  <c r="A24" i="1" l="1"/>
  <c r="C24" i="1" s="1"/>
  <c r="A25" i="1" l="1"/>
  <c r="C25" i="1" s="1"/>
  <c r="A26" i="1" l="1"/>
  <c r="C26" i="1" s="1"/>
  <c r="A27" i="1" l="1"/>
  <c r="C27" i="1" s="1"/>
  <c r="A28" i="1" l="1"/>
  <c r="C28" i="1" s="1"/>
  <c r="A29" i="1" l="1"/>
  <c r="C29" i="1" s="1"/>
  <c r="A30" i="1" l="1"/>
  <c r="C30" i="1" s="1"/>
  <c r="A31" i="1" l="1"/>
  <c r="C31" i="1" s="1"/>
  <c r="A32" i="1" l="1"/>
  <c r="C32" i="1" s="1"/>
  <c r="A33" i="1" l="1"/>
  <c r="C33" i="1" s="1"/>
  <c r="A34" i="1" l="1"/>
  <c r="C34" i="1" s="1"/>
  <c r="A35" i="1" l="1"/>
  <c r="C35" i="1" s="1"/>
  <c r="A36" i="1" l="1"/>
  <c r="C36" i="1" s="1"/>
  <c r="A37" i="1" l="1"/>
  <c r="C37" i="1" s="1"/>
  <c r="A38" i="1" l="1"/>
  <c r="C38" i="1" s="1"/>
  <c r="A39" i="1" l="1"/>
  <c r="C39" i="1" s="1"/>
  <c r="A40" i="1" l="1"/>
  <c r="C40" i="1" s="1"/>
  <c r="A41" i="1" l="1"/>
  <c r="C41" i="1" s="1"/>
  <c r="A42" i="1" l="1"/>
  <c r="C42" i="1" s="1"/>
  <c r="A43" i="1" l="1"/>
  <c r="C43" i="1" s="1"/>
  <c r="A44" i="1" s="1"/>
  <c r="C44" i="1" s="1"/>
  <c r="A45" i="1" s="1"/>
  <c r="C45" i="1" s="1"/>
  <c r="A46" i="1" s="1"/>
  <c r="C46" i="1" s="1"/>
  <c r="A47" i="1" s="1"/>
  <c r="C47" i="1" s="1"/>
  <c r="A48" i="1" s="1"/>
  <c r="C48" i="1" s="1"/>
  <c r="A49" i="1" s="1"/>
  <c r="C49" i="1" s="1"/>
  <c r="A50" i="1" s="1"/>
  <c r="C50" i="1" s="1"/>
  <c r="A51" i="1" s="1"/>
  <c r="C51" i="1" s="1"/>
  <c r="A52" i="1" s="1"/>
  <c r="C52" i="1" s="1"/>
  <c r="A53" i="1" s="1"/>
  <c r="C53" i="1" s="1"/>
  <c r="A54" i="1" s="1"/>
  <c r="C54" i="1" s="1"/>
  <c r="A55" i="1" s="1"/>
  <c r="C55" i="1" s="1"/>
  <c r="A56" i="1" s="1"/>
  <c r="C56" i="1" s="1"/>
  <c r="A57" i="1" s="1"/>
  <c r="C57" i="1" s="1"/>
  <c r="A58" i="1" s="1"/>
  <c r="C58" i="1" s="1"/>
  <c r="A59" i="1" s="1"/>
  <c r="C59" i="1" s="1"/>
  <c r="A60" i="1" s="1"/>
  <c r="C60" i="1" s="1"/>
  <c r="A61" i="1" s="1"/>
  <c r="C61" i="1" s="1"/>
  <c r="A62" i="1" s="1"/>
  <c r="C62" i="1" s="1"/>
  <c r="A63" i="1" s="1"/>
  <c r="C63" i="1" s="1"/>
  <c r="A64" i="1" s="1"/>
  <c r="C64" i="1" s="1"/>
  <c r="A65" i="1" s="1"/>
  <c r="C65" i="1" s="1"/>
  <c r="A66" i="1" s="1"/>
  <c r="C66" i="1" s="1"/>
  <c r="A67" i="1" s="1"/>
  <c r="C67" i="1" s="1"/>
  <c r="A68" i="1" s="1"/>
  <c r="C68" i="1" s="1"/>
  <c r="A69" i="1" s="1"/>
  <c r="C69" i="1" s="1"/>
  <c r="A70" i="1" s="1"/>
  <c r="C70" i="1" s="1"/>
  <c r="A71" i="1" s="1"/>
  <c r="C71" i="1" s="1"/>
</calcChain>
</file>

<file path=xl/sharedStrings.xml><?xml version="1.0" encoding="utf-8"?>
<sst xmlns="http://schemas.openxmlformats.org/spreadsheetml/2006/main" count="92" uniqueCount="17">
  <si>
    <t>ONTARIO TRAFFIC INC - TURNING MOVEMENT COUNT SURVEY</t>
  </si>
  <si>
    <t>Location:</t>
  </si>
  <si>
    <t>Site Code:</t>
  </si>
  <si>
    <t>TIME</t>
  </si>
  <si>
    <t>to</t>
  </si>
  <si>
    <t>TOTAL =</t>
  </si>
  <si>
    <t>Start Date:</t>
  </si>
  <si>
    <t>BICYCLES</t>
  </si>
  <si>
    <t>PEDESTRIANS</t>
  </si>
  <si>
    <t>COMBINED</t>
  </si>
  <si>
    <t>Roadway</t>
  </si>
  <si>
    <t>NB</t>
  </si>
  <si>
    <t>SB</t>
  </si>
  <si>
    <t>Bike Path</t>
  </si>
  <si>
    <t>SB Bike Lane</t>
  </si>
  <si>
    <t>BAYVIEW AVE NEAR BAYVIEW AVE S RIVER ST RAMP JUST NORTH OF RIVER ST RAMP</t>
  </si>
  <si>
    <t>200535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</si>
</sst>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dd\,\ mmmm\ dd\,\ yyyy"/>
  </numFmts>
  <fonts count="10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FFFFFF"/>
      <name val="Arial"/>
      <family val="2"/>
    </font>
    <font>
      <b/>
      <i/>
      <u/>
      <sz val="14"/>
      <color rgb="FF000000"/>
      <name val="Arial"/>
      <family val="2"/>
    </font>
    <font>
      <b/>
      <sz val="18"/>
      <color rgb="FFFF0000"/>
      <name val="Arial"/>
      <family val="2"/>
    </font>
    <font>
      <b/>
      <sz val="16"/>
      <color rgb="FFFF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theme="0" tint="-0.34998626667073579"/>
        <bgColor rgb="FFFFFFFF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2" borderId="0" xfId="0" applyFill="1"/>
    <xf numFmtId="0" fontId="0" fillId="2" borderId="0" xfId="0" applyFill="1"/>
    <xf numFmtId="0" fontId="0" fillId="2" borderId="0" xfId="0" applyFill="1" applyAlignment="1">
      <alignment horizontal="right"/>
    </xf>
    <xf numFmtId="49" fontId="0" fillId="2" borderId="0" xfId="0" applyNumberFormat="1" applyFill="1" applyAlignment="1">
      <alignment horizontal="right"/>
    </xf>
    <xf numFmtId="0" fontId="2" fillId="2" borderId="0" xfId="0" applyFont="1" applyFill="1"/>
    <xf numFmtId="0" fontId="0" fillId="2" borderId="0" xfId="0" applyFill="1" applyAlignment="1">
      <alignment horizontal="left"/>
    </xf>
    <xf numFmtId="0" fontId="3" fillId="2" borderId="0" xfId="0" applyFont="1" applyFill="1"/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/>
    <xf numFmtId="164" fontId="0" fillId="2" borderId="0" xfId="0" applyNumberFormat="1" applyFill="1" applyAlignment="1"/>
    <xf numFmtId="49" fontId="0" fillId="2" borderId="0" xfId="0" applyNumberFormat="1" applyFill="1" applyAlignment="1"/>
    <xf numFmtId="49" fontId="2" fillId="2" borderId="0" xfId="0" applyNumberFormat="1" applyFont="1" applyFill="1" applyAlignment="1"/>
    <xf numFmtId="0" fontId="5" fillId="2" borderId="0" xfId="0" applyFont="1" applyFill="1" applyAlignment="1">
      <alignment vertical="center" wrapText="1"/>
    </xf>
    <xf numFmtId="22" fontId="0" fillId="2" borderId="0" xfId="0" applyNumberFormat="1" applyFill="1"/>
    <xf numFmtId="0" fontId="7" fillId="2" borderId="0" xfId="0" applyFont="1" applyFill="1"/>
    <xf numFmtId="22" fontId="7" fillId="2" borderId="0" xfId="0" applyNumberFormat="1" applyFont="1" applyFill="1"/>
    <xf numFmtId="20" fontId="0" fillId="2" borderId="1" xfId="0" applyNumberFormat="1" applyFill="1" applyBorder="1" applyAlignment="1">
      <alignment horizontal="center"/>
    </xf>
    <xf numFmtId="20" fontId="7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0" xfId="0" applyFont="1" applyFill="1" applyAlignment="1">
      <alignment horizontal="left"/>
    </xf>
    <xf numFmtId="0" fontId="1" fillId="3" borderId="1" xfId="0" applyFont="1" applyFill="1" applyBorder="1" applyAlignment="1"/>
    <xf numFmtId="20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6" fillId="2" borderId="0" xfId="0" applyFont="1" applyFill="1" applyAlignment="1">
      <alignment vertical="center" wrapText="1"/>
    </xf>
    <xf numFmtId="0" fontId="8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/>
    </xf>
    <xf numFmtId="49" fontId="7" fillId="2" borderId="0" xfId="0" quotePrefix="1" applyNumberFormat="1" applyFont="1" applyFill="1"/>
    <xf numFmtId="49" fontId="0" fillId="2" borderId="0" xfId="0" quotePrefix="1" applyNumberFormat="1" applyFill="1"/>
    <xf numFmtId="49" fontId="0" fillId="2" borderId="0" xfId="0" applyNumberFormat="1" applyFill="1"/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4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left"/>
    </xf>
    <xf numFmtId="49" fontId="2" fillId="2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302079</xdr:colOff>
      <xdr:row>0</xdr:row>
      <xdr:rowOff>126547</xdr:rowOff>
    </xdr:from>
    <xdr:ext cx="1943100" cy="876300"/>
    <xdr:pic>
      <xdr:nvPicPr>
        <xdr:cNvPr id="2" name="Picture 4" descr="OTI5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26650" y="126547"/>
          <a:ext cx="1943100" cy="8763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32</xdr:row>
      <xdr:rowOff>108856</xdr:rowOff>
    </xdr:from>
    <xdr:ext cx="184731" cy="43672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 txBox="1"/>
      </xdr:nvSpPr>
      <xdr:spPr>
        <a:xfrm>
          <a:off x="14331042" y="6109606"/>
          <a:ext cx="184731" cy="43672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2200" b="1">
            <a:solidFill>
              <a:srgbClr val="00B050"/>
            </a:solidFill>
          </a:endParaRPr>
        </a:p>
      </xdr:txBody>
    </xdr:sp>
    <xdr:clientData/>
  </xdr:oneCellAnchor>
  <xdr:oneCellAnchor>
    <xdr:from>
      <xdr:col>20</xdr:col>
      <xdr:colOff>465362</xdr:colOff>
      <xdr:row>19</xdr:row>
      <xdr:rowOff>138795</xdr:rowOff>
    </xdr:from>
    <xdr:ext cx="612324" cy="436723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 txBox="1"/>
      </xdr:nvSpPr>
      <xdr:spPr>
        <a:xfrm>
          <a:off x="18835005" y="3785509"/>
          <a:ext cx="612324" cy="436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CA" sz="2200" b="1">
            <a:solidFill>
              <a:srgbClr val="FFFF00"/>
            </a:solidFill>
          </a:endParaRPr>
        </a:p>
      </xdr:txBody>
    </xdr:sp>
    <xdr:clientData/>
  </xdr:oneCellAnchor>
  <xdr:oneCellAnchor>
    <xdr:from>
      <xdr:col>17</xdr:col>
      <xdr:colOff>0</xdr:colOff>
      <xdr:row>24</xdr:row>
      <xdr:rowOff>2720</xdr:rowOff>
    </xdr:from>
    <xdr:ext cx="574222" cy="43672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SpPr txBox="1"/>
      </xdr:nvSpPr>
      <xdr:spPr>
        <a:xfrm>
          <a:off x="16002000" y="4697184"/>
          <a:ext cx="574222" cy="436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CA" sz="22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5"/>
  <sheetViews>
    <sheetView tabSelected="1" topLeftCell="A43" zoomScale="70" zoomScaleNormal="70" workbookViewId="0">
      <selection activeCell="I73" sqref="I73:I75"/>
    </sheetView>
  </sheetViews>
  <sheetFormatPr defaultRowHeight="12.5" x14ac:dyDescent="0.25"/>
  <cols>
    <col min="1" max="1" width="10.36328125" style="1" customWidth="1"/>
    <col min="2" max="2" width="5.453125" style="12" customWidth="1"/>
    <col min="3" max="3" width="9.08984375" style="1" customWidth="1"/>
    <col min="4" max="5" width="13.6328125" style="1" customWidth="1"/>
    <col min="6" max="7" width="13.54296875" style="12" customWidth="1"/>
    <col min="8" max="10" width="13.6328125" style="1" customWidth="1"/>
    <col min="11" max="14" width="13.6328125" style="12" customWidth="1"/>
    <col min="15" max="15" width="13.6328125" style="1" customWidth="1"/>
    <col min="16" max="16" width="10.6328125" style="1" customWidth="1"/>
    <col min="17" max="17" width="10.1796875" style="1" customWidth="1"/>
    <col min="18" max="26" width="8.6328125" style="1" customWidth="1"/>
    <col min="27" max="27" width="6.36328125" style="1" customWidth="1"/>
    <col min="28" max="28" width="9.36328125" style="1" customWidth="1"/>
    <col min="29" max="37" width="8.6328125" style="1" customWidth="1"/>
    <col min="38" max="38" width="18.54296875" style="1" customWidth="1"/>
    <col min="39" max="39" width="18.08984375" style="1" customWidth="1"/>
    <col min="40" max="40" width="6.36328125" style="1" customWidth="1"/>
    <col min="41" max="41" width="9.36328125" style="1" customWidth="1"/>
  </cols>
  <sheetData>
    <row r="1" spans="1:42" ht="18.75" customHeight="1" x14ac:dyDescent="0.3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</row>
    <row r="2" spans="1:42" ht="12.75" customHeight="1" x14ac:dyDescent="0.25">
      <c r="D2" s="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16"/>
      <c r="AB2" s="16"/>
      <c r="AC2" s="16"/>
      <c r="AD2" s="16"/>
      <c r="AE2" s="16"/>
      <c r="AF2" s="16"/>
      <c r="AG2" s="16"/>
    </row>
    <row r="3" spans="1:42" ht="12.75" customHeight="1" x14ac:dyDescent="0.3">
      <c r="A3" s="4" t="s">
        <v>1</v>
      </c>
      <c r="B3" s="18" t="s">
        <v>15</v>
      </c>
      <c r="C3" s="12"/>
      <c r="D3" s="12"/>
      <c r="E3" s="12"/>
      <c r="H3" s="12"/>
      <c r="I3" s="12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16"/>
      <c r="AB3" s="16"/>
      <c r="AC3" s="16"/>
      <c r="AD3" s="16"/>
      <c r="AE3" s="16"/>
      <c r="AF3" s="16"/>
      <c r="AG3" s="16"/>
      <c r="AK3" s="9"/>
      <c r="AL3" s="9"/>
      <c r="AM3" s="9"/>
    </row>
    <row r="4" spans="1:42" ht="12.75" customHeight="1" x14ac:dyDescent="0.3">
      <c r="A4" s="4" t="s">
        <v>6</v>
      </c>
      <c r="B4" s="43">
        <v>44317</v>
      </c>
      <c r="C4" s="43"/>
      <c r="D4" s="43"/>
      <c r="E4" s="43"/>
      <c r="F4" s="13"/>
      <c r="G4" s="13"/>
      <c r="H4" s="13"/>
      <c r="I4" s="8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16"/>
      <c r="AB4" s="16"/>
      <c r="AC4" s="16"/>
      <c r="AD4" s="16"/>
      <c r="AE4" s="16"/>
      <c r="AF4" s="16"/>
      <c r="AG4" s="16"/>
      <c r="AH4" s="5"/>
      <c r="AI4" s="5"/>
      <c r="AJ4" s="5"/>
      <c r="AK4" s="5"/>
      <c r="AL4" s="5"/>
      <c r="AM4" s="5"/>
    </row>
    <row r="5" spans="1:42" ht="12.75" customHeight="1" x14ac:dyDescent="0.3">
      <c r="A5" s="4" t="s">
        <v>2</v>
      </c>
      <c r="B5" s="37" t="s">
        <v>16</v>
      </c>
      <c r="C5" s="38"/>
      <c r="D5" s="39"/>
      <c r="E5" s="39"/>
      <c r="F5" s="14"/>
      <c r="G5" s="14"/>
      <c r="H5" s="14"/>
      <c r="I5" s="7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16"/>
      <c r="AB5" s="16"/>
      <c r="AC5" s="16"/>
      <c r="AD5" s="16"/>
      <c r="AE5" s="16"/>
      <c r="AF5" s="16"/>
      <c r="AG5" s="16"/>
      <c r="AH5" s="5"/>
      <c r="AI5" s="5"/>
      <c r="AJ5" s="5"/>
      <c r="AK5" s="5"/>
      <c r="AL5" s="5"/>
      <c r="AM5" s="5"/>
    </row>
    <row r="6" spans="1:42" ht="12.75" customHeight="1" x14ac:dyDescent="0.3">
      <c r="A6" s="11"/>
      <c r="B6" s="11"/>
      <c r="C6" s="11"/>
      <c r="D6" s="44"/>
      <c r="E6" s="44"/>
      <c r="F6" s="23"/>
      <c r="G6" s="23"/>
      <c r="H6" s="23"/>
      <c r="I6" s="15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16"/>
      <c r="AB6" s="16"/>
      <c r="AC6" s="16"/>
      <c r="AD6" s="16"/>
      <c r="AE6" s="16"/>
      <c r="AF6" s="16"/>
      <c r="AG6" s="16"/>
      <c r="AH6" s="5"/>
      <c r="AI6" s="5"/>
      <c r="AJ6" s="5"/>
      <c r="AK6" s="5"/>
      <c r="AL6" s="5"/>
      <c r="AM6" s="5"/>
    </row>
    <row r="7" spans="1:42" ht="12.75" customHeight="1" x14ac:dyDescent="0.3">
      <c r="A7" s="4"/>
      <c r="B7" s="4"/>
      <c r="C7" s="10"/>
      <c r="D7" s="10"/>
      <c r="E7" s="10"/>
      <c r="F7" s="11"/>
      <c r="G7" s="11"/>
      <c r="H7" s="10"/>
      <c r="I7" s="10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16"/>
      <c r="AB7" s="16"/>
      <c r="AC7" s="16"/>
      <c r="AD7" s="16"/>
      <c r="AE7" s="16"/>
      <c r="AF7" s="16"/>
      <c r="AG7" s="16"/>
      <c r="AH7" s="5"/>
      <c r="AI7" s="5"/>
      <c r="AJ7" s="5"/>
      <c r="AK7" s="5"/>
      <c r="AL7" s="5"/>
      <c r="AM7" s="5"/>
    </row>
    <row r="8" spans="1:42" s="12" customFormat="1" x14ac:dyDescent="0.25">
      <c r="A8" s="6"/>
      <c r="B8" s="6"/>
      <c r="C8" s="1"/>
      <c r="D8" s="2"/>
      <c r="E8" s="1"/>
      <c r="H8" s="1"/>
      <c r="I8" s="1"/>
      <c r="J8" s="1"/>
      <c r="O8" s="1"/>
    </row>
    <row r="9" spans="1:42" s="12" customFormat="1" ht="43.5" customHeight="1" x14ac:dyDescent="0.25">
      <c r="A9" s="45" t="s">
        <v>3</v>
      </c>
      <c r="B9" s="45"/>
      <c r="C9" s="45"/>
      <c r="D9" s="50" t="s">
        <v>7</v>
      </c>
      <c r="E9" s="50"/>
      <c r="F9" s="50"/>
      <c r="G9" s="50"/>
      <c r="H9" s="50"/>
      <c r="I9" s="50"/>
      <c r="J9" s="50"/>
      <c r="K9" s="50" t="s">
        <v>8</v>
      </c>
      <c r="L9" s="50"/>
      <c r="M9" s="50"/>
      <c r="N9" s="50"/>
      <c r="O9" s="50"/>
      <c r="P9" s="50"/>
      <c r="Q9" s="50"/>
    </row>
    <row r="10" spans="1:42" s="12" customFormat="1" ht="25.5" customHeight="1" x14ac:dyDescent="0.3">
      <c r="A10" s="45"/>
      <c r="B10" s="45"/>
      <c r="C10" s="45"/>
      <c r="D10" s="46" t="s">
        <v>10</v>
      </c>
      <c r="E10" s="47"/>
      <c r="F10" s="46" t="s">
        <v>13</v>
      </c>
      <c r="G10" s="47"/>
      <c r="H10" s="41" t="s">
        <v>14</v>
      </c>
      <c r="I10" s="48" t="s">
        <v>9</v>
      </c>
      <c r="J10" s="49"/>
      <c r="K10" s="46" t="s">
        <v>10</v>
      </c>
      <c r="L10" s="47"/>
      <c r="M10" s="46" t="s">
        <v>13</v>
      </c>
      <c r="N10" s="47"/>
      <c r="O10" s="41" t="s">
        <v>14</v>
      </c>
      <c r="P10" s="48" t="s">
        <v>9</v>
      </c>
      <c r="Q10" s="49"/>
    </row>
    <row r="11" spans="1:42" s="12" customFormat="1" ht="23.25" customHeight="1" x14ac:dyDescent="0.3">
      <c r="A11" s="45"/>
      <c r="B11" s="45"/>
      <c r="C11" s="45"/>
      <c r="D11" s="27" t="s">
        <v>11</v>
      </c>
      <c r="E11" s="28" t="s">
        <v>12</v>
      </c>
      <c r="F11" s="27" t="s">
        <v>11</v>
      </c>
      <c r="G11" s="35" t="s">
        <v>12</v>
      </c>
      <c r="H11" s="27" t="s">
        <v>12</v>
      </c>
      <c r="I11" s="31" t="s">
        <v>11</v>
      </c>
      <c r="J11" s="30" t="s">
        <v>12</v>
      </c>
      <c r="K11" s="27" t="s">
        <v>11</v>
      </c>
      <c r="L11" s="40" t="s">
        <v>12</v>
      </c>
      <c r="M11" s="27" t="s">
        <v>11</v>
      </c>
      <c r="N11" s="40" t="s">
        <v>12</v>
      </c>
      <c r="O11" s="27" t="s">
        <v>12</v>
      </c>
      <c r="P11" s="31" t="s">
        <v>11</v>
      </c>
      <c r="Q11" s="36" t="s">
        <v>12</v>
      </c>
    </row>
    <row r="12" spans="1:42" s="12" customFormat="1" x14ac:dyDescent="0.25">
      <c r="A12" s="25">
        <v>0.29166666666666669</v>
      </c>
      <c r="B12" s="21" t="s">
        <v>4</v>
      </c>
      <c r="C12" s="20">
        <f>A12+15/(24*60)</f>
        <v>0.30208333333333337</v>
      </c>
      <c r="D12" s="22">
        <v>6</v>
      </c>
      <c r="E12" s="26">
        <v>1</v>
      </c>
      <c r="F12" s="26">
        <v>0</v>
      </c>
      <c r="G12" s="26">
        <v>0</v>
      </c>
      <c r="H12" s="26">
        <v>1</v>
      </c>
      <c r="I12" s="32">
        <f>D12+F12</f>
        <v>6</v>
      </c>
      <c r="J12" s="32">
        <f>E12+G12+H12</f>
        <v>2</v>
      </c>
      <c r="K12" s="22">
        <v>1</v>
      </c>
      <c r="L12" s="22">
        <v>1</v>
      </c>
      <c r="M12" s="22">
        <v>0</v>
      </c>
      <c r="N12" s="26">
        <v>0</v>
      </c>
      <c r="O12" s="22">
        <v>0</v>
      </c>
      <c r="P12" s="34">
        <f>K12+M12</f>
        <v>1</v>
      </c>
      <c r="Q12" s="34">
        <f>L12+N12+O12</f>
        <v>1</v>
      </c>
    </row>
    <row r="13" spans="1:42" s="12" customFormat="1" x14ac:dyDescent="0.25">
      <c r="A13" s="20">
        <f>C12</f>
        <v>0.30208333333333337</v>
      </c>
      <c r="B13" s="21" t="s">
        <v>4</v>
      </c>
      <c r="C13" s="20">
        <f>A13+15/(24*60)</f>
        <v>0.31250000000000006</v>
      </c>
      <c r="D13" s="22">
        <v>5</v>
      </c>
      <c r="E13" s="26">
        <v>3</v>
      </c>
      <c r="F13" s="26">
        <v>0</v>
      </c>
      <c r="G13" s="26">
        <v>0</v>
      </c>
      <c r="H13" s="26">
        <v>2</v>
      </c>
      <c r="I13" s="32">
        <f t="shared" ref="I13:I71" si="0">D13+F13</f>
        <v>5</v>
      </c>
      <c r="J13" s="32">
        <f t="shared" ref="J13:J71" si="1">E13+G13+H13</f>
        <v>5</v>
      </c>
      <c r="K13" s="22">
        <v>0</v>
      </c>
      <c r="L13" s="22">
        <v>0</v>
      </c>
      <c r="M13" s="22">
        <v>0</v>
      </c>
      <c r="N13" s="26">
        <v>0</v>
      </c>
      <c r="O13" s="22">
        <v>0</v>
      </c>
      <c r="P13" s="34">
        <f t="shared" ref="P13:P71" si="2">K13+M13</f>
        <v>0</v>
      </c>
      <c r="Q13" s="34">
        <f t="shared" ref="Q13:Q71" si="3">L13+N13+O13</f>
        <v>0</v>
      </c>
    </row>
    <row r="14" spans="1:42" s="12" customFormat="1" x14ac:dyDescent="0.25">
      <c r="A14" s="20">
        <f t="shared" ref="A14:A43" si="4">C13</f>
        <v>0.31250000000000006</v>
      </c>
      <c r="B14" s="21" t="s">
        <v>4</v>
      </c>
      <c r="C14" s="20">
        <f t="shared" ref="C14" si="5">A14+15/(24*60)</f>
        <v>0.32291666666666674</v>
      </c>
      <c r="D14" s="22">
        <v>5</v>
      </c>
      <c r="E14" s="26">
        <v>4</v>
      </c>
      <c r="F14" s="26">
        <v>0</v>
      </c>
      <c r="G14" s="26">
        <v>0</v>
      </c>
      <c r="H14" s="26">
        <v>2</v>
      </c>
      <c r="I14" s="32">
        <f t="shared" si="0"/>
        <v>5</v>
      </c>
      <c r="J14" s="32">
        <f t="shared" si="1"/>
        <v>6</v>
      </c>
      <c r="K14" s="22">
        <v>0</v>
      </c>
      <c r="L14" s="22">
        <v>1</v>
      </c>
      <c r="M14" s="22">
        <v>0</v>
      </c>
      <c r="N14" s="26">
        <v>2</v>
      </c>
      <c r="O14" s="22">
        <v>2</v>
      </c>
      <c r="P14" s="34">
        <f t="shared" si="2"/>
        <v>0</v>
      </c>
      <c r="Q14" s="34">
        <f t="shared" si="3"/>
        <v>5</v>
      </c>
      <c r="AG14" s="17"/>
      <c r="AH14" s="17"/>
    </row>
    <row r="15" spans="1:42" s="12" customFormat="1" x14ac:dyDescent="0.25">
      <c r="A15" s="20">
        <f t="shared" si="4"/>
        <v>0.32291666666666674</v>
      </c>
      <c r="B15" s="21" t="s">
        <v>4</v>
      </c>
      <c r="C15" s="20">
        <f t="shared" ref="C15:C43" si="6">A15+15/(24*60)</f>
        <v>0.33333333333333343</v>
      </c>
      <c r="D15" s="22">
        <v>8</v>
      </c>
      <c r="E15" s="26">
        <v>6</v>
      </c>
      <c r="F15" s="26">
        <v>2</v>
      </c>
      <c r="G15" s="26">
        <v>0</v>
      </c>
      <c r="H15" s="26">
        <v>2</v>
      </c>
      <c r="I15" s="32">
        <f t="shared" si="0"/>
        <v>10</v>
      </c>
      <c r="J15" s="32">
        <f t="shared" si="1"/>
        <v>8</v>
      </c>
      <c r="K15" s="22">
        <v>2</v>
      </c>
      <c r="L15" s="22">
        <v>1</v>
      </c>
      <c r="M15" s="22">
        <v>3</v>
      </c>
      <c r="N15" s="26">
        <v>1</v>
      </c>
      <c r="O15" s="22">
        <v>1</v>
      </c>
      <c r="P15" s="34">
        <f t="shared" si="2"/>
        <v>5</v>
      </c>
      <c r="Q15" s="34">
        <f t="shared" si="3"/>
        <v>3</v>
      </c>
      <c r="AF15" s="18"/>
      <c r="AG15" s="17"/>
      <c r="AH15" s="17"/>
    </row>
    <row r="16" spans="1:42" s="12" customFormat="1" x14ac:dyDescent="0.25">
      <c r="A16" s="20">
        <f t="shared" si="4"/>
        <v>0.33333333333333343</v>
      </c>
      <c r="B16" s="21" t="s">
        <v>4</v>
      </c>
      <c r="C16" s="20">
        <f t="shared" si="6"/>
        <v>0.34375000000000011</v>
      </c>
      <c r="D16" s="22">
        <v>10</v>
      </c>
      <c r="E16" s="26">
        <v>6</v>
      </c>
      <c r="F16" s="26">
        <v>0</v>
      </c>
      <c r="G16" s="26">
        <v>0</v>
      </c>
      <c r="H16" s="26">
        <v>4</v>
      </c>
      <c r="I16" s="32">
        <f t="shared" si="0"/>
        <v>10</v>
      </c>
      <c r="J16" s="32">
        <f t="shared" si="1"/>
        <v>10</v>
      </c>
      <c r="K16" s="22">
        <v>4</v>
      </c>
      <c r="L16" s="22">
        <v>5</v>
      </c>
      <c r="M16" s="22">
        <v>2</v>
      </c>
      <c r="N16" s="26">
        <v>0</v>
      </c>
      <c r="O16" s="22">
        <v>1</v>
      </c>
      <c r="P16" s="34">
        <f t="shared" si="2"/>
        <v>6</v>
      </c>
      <c r="Q16" s="34">
        <f t="shared" si="3"/>
        <v>6</v>
      </c>
      <c r="AF16" s="18"/>
      <c r="AG16" s="17"/>
      <c r="AH16" s="17"/>
    </row>
    <row r="17" spans="1:35" s="12" customFormat="1" x14ac:dyDescent="0.25">
      <c r="A17" s="20">
        <f t="shared" si="4"/>
        <v>0.34375000000000011</v>
      </c>
      <c r="B17" s="21" t="s">
        <v>4</v>
      </c>
      <c r="C17" s="20">
        <f t="shared" si="6"/>
        <v>0.3541666666666668</v>
      </c>
      <c r="D17" s="22">
        <v>19</v>
      </c>
      <c r="E17" s="26">
        <v>10</v>
      </c>
      <c r="F17" s="26">
        <v>2</v>
      </c>
      <c r="G17" s="26">
        <v>0</v>
      </c>
      <c r="H17" s="26">
        <v>1</v>
      </c>
      <c r="I17" s="32">
        <f t="shared" si="0"/>
        <v>21</v>
      </c>
      <c r="J17" s="32">
        <f t="shared" si="1"/>
        <v>11</v>
      </c>
      <c r="K17" s="22">
        <v>7</v>
      </c>
      <c r="L17" s="22">
        <v>4</v>
      </c>
      <c r="M17" s="22">
        <v>3</v>
      </c>
      <c r="N17" s="26">
        <v>0</v>
      </c>
      <c r="O17" s="22">
        <v>4</v>
      </c>
      <c r="P17" s="34">
        <f t="shared" si="2"/>
        <v>10</v>
      </c>
      <c r="Q17" s="34">
        <f t="shared" si="3"/>
        <v>8</v>
      </c>
      <c r="AF17" s="18"/>
      <c r="AG17" s="17"/>
      <c r="AH17" s="17"/>
    </row>
    <row r="18" spans="1:35" s="12" customFormat="1" x14ac:dyDescent="0.25">
      <c r="A18" s="20">
        <f t="shared" si="4"/>
        <v>0.3541666666666668</v>
      </c>
      <c r="B18" s="21" t="s">
        <v>4</v>
      </c>
      <c r="C18" s="20">
        <f t="shared" si="6"/>
        <v>0.36458333333333348</v>
      </c>
      <c r="D18" s="22">
        <v>13</v>
      </c>
      <c r="E18" s="26">
        <v>7</v>
      </c>
      <c r="F18" s="26">
        <v>0</v>
      </c>
      <c r="G18" s="26">
        <v>0</v>
      </c>
      <c r="H18" s="26">
        <v>0</v>
      </c>
      <c r="I18" s="32">
        <f t="shared" si="0"/>
        <v>13</v>
      </c>
      <c r="J18" s="32">
        <f t="shared" si="1"/>
        <v>7</v>
      </c>
      <c r="K18" s="22">
        <v>3</v>
      </c>
      <c r="L18" s="22">
        <v>8</v>
      </c>
      <c r="M18" s="22">
        <v>4</v>
      </c>
      <c r="N18" s="26">
        <v>0</v>
      </c>
      <c r="O18" s="22">
        <v>4</v>
      </c>
      <c r="P18" s="34">
        <f t="shared" si="2"/>
        <v>7</v>
      </c>
      <c r="Q18" s="34">
        <f t="shared" si="3"/>
        <v>12</v>
      </c>
      <c r="AF18" s="18"/>
      <c r="AG18" s="17"/>
      <c r="AH18" s="17"/>
    </row>
    <row r="19" spans="1:35" s="12" customFormat="1" x14ac:dyDescent="0.25">
      <c r="A19" s="20">
        <f t="shared" si="4"/>
        <v>0.36458333333333348</v>
      </c>
      <c r="B19" s="21" t="s">
        <v>4</v>
      </c>
      <c r="C19" s="20">
        <f t="shared" si="6"/>
        <v>0.37500000000000017</v>
      </c>
      <c r="D19" s="22">
        <v>23</v>
      </c>
      <c r="E19" s="26">
        <v>14</v>
      </c>
      <c r="F19" s="26">
        <v>1</v>
      </c>
      <c r="G19" s="26">
        <v>0</v>
      </c>
      <c r="H19" s="26">
        <v>2</v>
      </c>
      <c r="I19" s="32">
        <f t="shared" si="0"/>
        <v>24</v>
      </c>
      <c r="J19" s="32">
        <f t="shared" si="1"/>
        <v>16</v>
      </c>
      <c r="K19" s="22">
        <v>5</v>
      </c>
      <c r="L19" s="22">
        <v>5</v>
      </c>
      <c r="M19" s="22">
        <v>5</v>
      </c>
      <c r="N19" s="26">
        <v>1</v>
      </c>
      <c r="O19" s="22">
        <v>2</v>
      </c>
      <c r="P19" s="34">
        <f t="shared" si="2"/>
        <v>10</v>
      </c>
      <c r="Q19" s="34">
        <f t="shared" si="3"/>
        <v>8</v>
      </c>
      <c r="AF19" s="18"/>
      <c r="AG19" s="17"/>
      <c r="AH19" s="17"/>
    </row>
    <row r="20" spans="1:35" s="12" customFormat="1" x14ac:dyDescent="0.25">
      <c r="A20" s="20">
        <f t="shared" si="4"/>
        <v>0.37500000000000017</v>
      </c>
      <c r="B20" s="21" t="s">
        <v>4</v>
      </c>
      <c r="C20" s="20">
        <f t="shared" si="6"/>
        <v>0.38541666666666685</v>
      </c>
      <c r="D20" s="22">
        <v>8</v>
      </c>
      <c r="E20" s="26">
        <v>6</v>
      </c>
      <c r="F20" s="26">
        <v>1</v>
      </c>
      <c r="G20" s="26">
        <v>0</v>
      </c>
      <c r="H20" s="26">
        <v>2</v>
      </c>
      <c r="I20" s="32">
        <f t="shared" si="0"/>
        <v>9</v>
      </c>
      <c r="J20" s="32">
        <f t="shared" si="1"/>
        <v>8</v>
      </c>
      <c r="K20" s="22">
        <v>2</v>
      </c>
      <c r="L20" s="22">
        <v>1</v>
      </c>
      <c r="M20" s="22">
        <v>4</v>
      </c>
      <c r="N20" s="26">
        <v>0</v>
      </c>
      <c r="O20" s="22">
        <v>5</v>
      </c>
      <c r="P20" s="34">
        <f t="shared" si="2"/>
        <v>6</v>
      </c>
      <c r="Q20" s="34">
        <f t="shared" si="3"/>
        <v>6</v>
      </c>
      <c r="AF20" s="18"/>
      <c r="AG20" s="17"/>
      <c r="AH20" s="17"/>
    </row>
    <row r="21" spans="1:35" s="12" customFormat="1" x14ac:dyDescent="0.25">
      <c r="A21" s="20">
        <f t="shared" si="4"/>
        <v>0.38541666666666685</v>
      </c>
      <c r="B21" s="21" t="s">
        <v>4</v>
      </c>
      <c r="C21" s="20">
        <f t="shared" si="6"/>
        <v>0.39583333333333354</v>
      </c>
      <c r="D21" s="22">
        <v>21</v>
      </c>
      <c r="E21" s="26">
        <v>15</v>
      </c>
      <c r="F21" s="26">
        <v>1</v>
      </c>
      <c r="G21" s="26">
        <v>0</v>
      </c>
      <c r="H21" s="26">
        <v>1</v>
      </c>
      <c r="I21" s="32">
        <f t="shared" si="0"/>
        <v>22</v>
      </c>
      <c r="J21" s="32">
        <f t="shared" si="1"/>
        <v>16</v>
      </c>
      <c r="K21" s="22">
        <v>6</v>
      </c>
      <c r="L21" s="22">
        <v>4</v>
      </c>
      <c r="M21" s="22">
        <v>2</v>
      </c>
      <c r="N21" s="26">
        <v>1</v>
      </c>
      <c r="O21" s="22">
        <v>5</v>
      </c>
      <c r="P21" s="34">
        <f t="shared" si="2"/>
        <v>8</v>
      </c>
      <c r="Q21" s="34">
        <f t="shared" si="3"/>
        <v>10</v>
      </c>
      <c r="AF21" s="18"/>
      <c r="AG21" s="19"/>
      <c r="AH21" s="19"/>
    </row>
    <row r="22" spans="1:35" s="12" customFormat="1" x14ac:dyDescent="0.25">
      <c r="A22" s="20">
        <f t="shared" si="4"/>
        <v>0.39583333333333354</v>
      </c>
      <c r="B22" s="21" t="s">
        <v>4</v>
      </c>
      <c r="C22" s="20">
        <f t="shared" si="6"/>
        <v>0.40625000000000022</v>
      </c>
      <c r="D22" s="22">
        <v>13</v>
      </c>
      <c r="E22" s="26">
        <v>5</v>
      </c>
      <c r="F22" s="26">
        <v>3</v>
      </c>
      <c r="G22" s="26">
        <v>0</v>
      </c>
      <c r="H22" s="26">
        <v>1</v>
      </c>
      <c r="I22" s="32">
        <f t="shared" si="0"/>
        <v>16</v>
      </c>
      <c r="J22" s="32">
        <f t="shared" si="1"/>
        <v>6</v>
      </c>
      <c r="K22" s="22">
        <v>2</v>
      </c>
      <c r="L22" s="22">
        <v>1</v>
      </c>
      <c r="M22" s="22">
        <v>2</v>
      </c>
      <c r="N22" s="26">
        <v>1</v>
      </c>
      <c r="O22" s="22">
        <v>0</v>
      </c>
      <c r="P22" s="34">
        <f t="shared" si="2"/>
        <v>4</v>
      </c>
      <c r="Q22" s="34">
        <f t="shared" si="3"/>
        <v>2</v>
      </c>
      <c r="AF22" s="18"/>
      <c r="AG22" s="17"/>
      <c r="AH22" s="17"/>
    </row>
    <row r="23" spans="1:35" s="12" customFormat="1" x14ac:dyDescent="0.25">
      <c r="A23" s="20">
        <f t="shared" si="4"/>
        <v>0.40625000000000022</v>
      </c>
      <c r="B23" s="21" t="s">
        <v>4</v>
      </c>
      <c r="C23" s="20">
        <f t="shared" si="6"/>
        <v>0.41666666666666691</v>
      </c>
      <c r="D23" s="22">
        <v>23</v>
      </c>
      <c r="E23" s="26">
        <v>15</v>
      </c>
      <c r="F23" s="26">
        <v>0</v>
      </c>
      <c r="G23" s="26">
        <v>0</v>
      </c>
      <c r="H23" s="26">
        <v>2</v>
      </c>
      <c r="I23" s="32">
        <f t="shared" si="0"/>
        <v>23</v>
      </c>
      <c r="J23" s="32">
        <f t="shared" si="1"/>
        <v>17</v>
      </c>
      <c r="K23" s="22">
        <v>7</v>
      </c>
      <c r="L23" s="22">
        <v>10</v>
      </c>
      <c r="M23" s="22">
        <v>2</v>
      </c>
      <c r="N23" s="26">
        <v>3</v>
      </c>
      <c r="O23" s="22">
        <v>3</v>
      </c>
      <c r="P23" s="34">
        <f t="shared" si="2"/>
        <v>9</v>
      </c>
      <c r="Q23" s="34">
        <f t="shared" si="3"/>
        <v>16</v>
      </c>
      <c r="AF23" s="18"/>
      <c r="AG23" s="17"/>
      <c r="AH23" s="17"/>
    </row>
    <row r="24" spans="1:35" s="12" customFormat="1" x14ac:dyDescent="0.25">
      <c r="A24" s="20">
        <f t="shared" si="4"/>
        <v>0.41666666666666691</v>
      </c>
      <c r="B24" s="21" t="s">
        <v>4</v>
      </c>
      <c r="C24" s="20">
        <f t="shared" si="6"/>
        <v>0.42708333333333359</v>
      </c>
      <c r="D24" s="22">
        <v>23</v>
      </c>
      <c r="E24" s="26">
        <v>15</v>
      </c>
      <c r="F24" s="26">
        <v>1</v>
      </c>
      <c r="G24" s="26">
        <v>0</v>
      </c>
      <c r="H24" s="26">
        <v>0</v>
      </c>
      <c r="I24" s="32">
        <f t="shared" si="0"/>
        <v>24</v>
      </c>
      <c r="J24" s="32">
        <f t="shared" si="1"/>
        <v>15</v>
      </c>
      <c r="K24" s="22">
        <v>11</v>
      </c>
      <c r="L24" s="22">
        <v>11</v>
      </c>
      <c r="M24" s="22">
        <v>5</v>
      </c>
      <c r="N24" s="26">
        <v>2</v>
      </c>
      <c r="O24" s="22">
        <v>1</v>
      </c>
      <c r="P24" s="34">
        <f t="shared" si="2"/>
        <v>16</v>
      </c>
      <c r="Q24" s="34">
        <f t="shared" si="3"/>
        <v>14</v>
      </c>
      <c r="AF24" s="18"/>
      <c r="AG24" s="17"/>
      <c r="AH24" s="17"/>
    </row>
    <row r="25" spans="1:35" s="12" customFormat="1" x14ac:dyDescent="0.25">
      <c r="A25" s="20">
        <f t="shared" si="4"/>
        <v>0.42708333333333359</v>
      </c>
      <c r="B25" s="21" t="s">
        <v>4</v>
      </c>
      <c r="C25" s="20">
        <f t="shared" si="6"/>
        <v>0.43750000000000028</v>
      </c>
      <c r="D25" s="22">
        <v>32</v>
      </c>
      <c r="E25" s="26">
        <v>38</v>
      </c>
      <c r="F25" s="26">
        <v>2</v>
      </c>
      <c r="G25" s="26">
        <v>0</v>
      </c>
      <c r="H25" s="26">
        <v>7</v>
      </c>
      <c r="I25" s="32">
        <f t="shared" si="0"/>
        <v>34</v>
      </c>
      <c r="J25" s="32">
        <f t="shared" si="1"/>
        <v>45</v>
      </c>
      <c r="K25" s="22">
        <v>6</v>
      </c>
      <c r="L25" s="22">
        <v>8</v>
      </c>
      <c r="M25" s="22">
        <v>6</v>
      </c>
      <c r="N25" s="26">
        <v>1</v>
      </c>
      <c r="O25" s="22">
        <v>3</v>
      </c>
      <c r="P25" s="34">
        <f t="shared" si="2"/>
        <v>12</v>
      </c>
      <c r="Q25" s="34">
        <f t="shared" si="3"/>
        <v>12</v>
      </c>
      <c r="AG25" s="17"/>
      <c r="AH25" s="19"/>
      <c r="AI25" s="18"/>
    </row>
    <row r="26" spans="1:35" s="12" customFormat="1" x14ac:dyDescent="0.25">
      <c r="A26" s="20">
        <f t="shared" si="4"/>
        <v>0.43750000000000028</v>
      </c>
      <c r="B26" s="21" t="s">
        <v>4</v>
      </c>
      <c r="C26" s="20">
        <f t="shared" si="6"/>
        <v>0.44791666666666696</v>
      </c>
      <c r="D26" s="22">
        <v>51</v>
      </c>
      <c r="E26" s="26">
        <v>48</v>
      </c>
      <c r="F26" s="26">
        <v>4</v>
      </c>
      <c r="G26" s="26">
        <v>0</v>
      </c>
      <c r="H26" s="26">
        <v>11</v>
      </c>
      <c r="I26" s="32">
        <f t="shared" si="0"/>
        <v>55</v>
      </c>
      <c r="J26" s="32">
        <f t="shared" si="1"/>
        <v>59</v>
      </c>
      <c r="K26" s="22">
        <v>11</v>
      </c>
      <c r="L26" s="22">
        <v>15</v>
      </c>
      <c r="M26" s="22">
        <v>7</v>
      </c>
      <c r="N26" s="26">
        <v>3</v>
      </c>
      <c r="O26" s="22">
        <v>4</v>
      </c>
      <c r="P26" s="34">
        <f t="shared" si="2"/>
        <v>18</v>
      </c>
      <c r="Q26" s="34">
        <f t="shared" si="3"/>
        <v>22</v>
      </c>
      <c r="AF26" s="18"/>
      <c r="AG26" s="19"/>
      <c r="AH26" s="19"/>
    </row>
    <row r="27" spans="1:35" s="12" customFormat="1" x14ac:dyDescent="0.25">
      <c r="A27" s="20">
        <f t="shared" si="4"/>
        <v>0.44791666666666696</v>
      </c>
      <c r="B27" s="21" t="s">
        <v>4</v>
      </c>
      <c r="C27" s="20">
        <f t="shared" si="6"/>
        <v>0.45833333333333365</v>
      </c>
      <c r="D27" s="22">
        <v>34</v>
      </c>
      <c r="E27" s="26">
        <v>33</v>
      </c>
      <c r="F27" s="26">
        <v>8</v>
      </c>
      <c r="G27" s="26">
        <v>0</v>
      </c>
      <c r="H27" s="26">
        <v>5</v>
      </c>
      <c r="I27" s="32">
        <f t="shared" si="0"/>
        <v>42</v>
      </c>
      <c r="J27" s="32">
        <f t="shared" si="1"/>
        <v>38</v>
      </c>
      <c r="K27" s="22">
        <v>13</v>
      </c>
      <c r="L27" s="22">
        <v>5</v>
      </c>
      <c r="M27" s="22">
        <v>2</v>
      </c>
      <c r="N27" s="26">
        <v>2</v>
      </c>
      <c r="O27" s="22">
        <v>5</v>
      </c>
      <c r="P27" s="34">
        <f t="shared" si="2"/>
        <v>15</v>
      </c>
      <c r="Q27" s="34">
        <f t="shared" si="3"/>
        <v>12</v>
      </c>
      <c r="AF27" s="18"/>
      <c r="AG27" s="17"/>
      <c r="AH27" s="19"/>
    </row>
    <row r="28" spans="1:35" s="12" customFormat="1" x14ac:dyDescent="0.25">
      <c r="A28" s="20">
        <f t="shared" si="4"/>
        <v>0.45833333333333365</v>
      </c>
      <c r="B28" s="21" t="s">
        <v>4</v>
      </c>
      <c r="C28" s="20">
        <f t="shared" si="6"/>
        <v>0.46875000000000033</v>
      </c>
      <c r="D28" s="22">
        <v>51</v>
      </c>
      <c r="E28" s="26">
        <v>54</v>
      </c>
      <c r="F28" s="26">
        <v>1</v>
      </c>
      <c r="G28" s="26">
        <v>0</v>
      </c>
      <c r="H28" s="26">
        <v>5</v>
      </c>
      <c r="I28" s="32">
        <f t="shared" si="0"/>
        <v>52</v>
      </c>
      <c r="J28" s="32">
        <f t="shared" si="1"/>
        <v>59</v>
      </c>
      <c r="K28" s="22">
        <v>2</v>
      </c>
      <c r="L28" s="22">
        <v>3</v>
      </c>
      <c r="M28" s="22">
        <v>13</v>
      </c>
      <c r="N28" s="26">
        <v>0</v>
      </c>
      <c r="O28" s="22">
        <v>11</v>
      </c>
      <c r="P28" s="34">
        <f t="shared" si="2"/>
        <v>15</v>
      </c>
      <c r="Q28" s="34">
        <f t="shared" si="3"/>
        <v>14</v>
      </c>
      <c r="AG28" s="17"/>
      <c r="AH28" s="17"/>
    </row>
    <row r="29" spans="1:35" s="12" customFormat="1" x14ac:dyDescent="0.25">
      <c r="A29" s="20">
        <f t="shared" si="4"/>
        <v>0.46875000000000033</v>
      </c>
      <c r="B29" s="21" t="s">
        <v>4</v>
      </c>
      <c r="C29" s="20">
        <f t="shared" si="6"/>
        <v>0.47916666666666702</v>
      </c>
      <c r="D29" s="22">
        <v>39</v>
      </c>
      <c r="E29" s="26">
        <v>48</v>
      </c>
      <c r="F29" s="26">
        <v>0</v>
      </c>
      <c r="G29" s="26">
        <v>0</v>
      </c>
      <c r="H29" s="26">
        <v>3</v>
      </c>
      <c r="I29" s="32">
        <f t="shared" si="0"/>
        <v>39</v>
      </c>
      <c r="J29" s="32">
        <f t="shared" si="1"/>
        <v>51</v>
      </c>
      <c r="K29" s="22">
        <v>8</v>
      </c>
      <c r="L29" s="22">
        <v>1</v>
      </c>
      <c r="M29" s="22">
        <v>10</v>
      </c>
      <c r="N29" s="26">
        <v>3</v>
      </c>
      <c r="O29" s="22">
        <v>10</v>
      </c>
      <c r="P29" s="34">
        <f t="shared" si="2"/>
        <v>18</v>
      </c>
      <c r="Q29" s="34">
        <f t="shared" si="3"/>
        <v>14</v>
      </c>
      <c r="AF29" s="18"/>
      <c r="AG29" s="17"/>
      <c r="AH29" s="17"/>
    </row>
    <row r="30" spans="1:35" s="12" customFormat="1" x14ac:dyDescent="0.25">
      <c r="A30" s="20">
        <f t="shared" si="4"/>
        <v>0.47916666666666702</v>
      </c>
      <c r="B30" s="21" t="s">
        <v>4</v>
      </c>
      <c r="C30" s="20">
        <f t="shared" si="6"/>
        <v>0.4895833333333337</v>
      </c>
      <c r="D30" s="22">
        <v>41</v>
      </c>
      <c r="E30" s="26">
        <v>39</v>
      </c>
      <c r="F30" s="26">
        <v>7</v>
      </c>
      <c r="G30" s="26">
        <v>0</v>
      </c>
      <c r="H30" s="26">
        <v>4</v>
      </c>
      <c r="I30" s="32">
        <f t="shared" si="0"/>
        <v>48</v>
      </c>
      <c r="J30" s="32">
        <f t="shared" si="1"/>
        <v>43</v>
      </c>
      <c r="K30" s="22">
        <v>9</v>
      </c>
      <c r="L30" s="22">
        <v>12</v>
      </c>
      <c r="M30" s="22">
        <v>10</v>
      </c>
      <c r="N30" s="26">
        <v>2</v>
      </c>
      <c r="O30" s="22">
        <v>2</v>
      </c>
      <c r="P30" s="34">
        <f t="shared" si="2"/>
        <v>19</v>
      </c>
      <c r="Q30" s="34">
        <f t="shared" si="3"/>
        <v>16</v>
      </c>
      <c r="AF30" s="18"/>
      <c r="AG30" s="19"/>
      <c r="AH30" s="17"/>
    </row>
    <row r="31" spans="1:35" s="12" customFormat="1" x14ac:dyDescent="0.25">
      <c r="A31" s="20">
        <f t="shared" si="4"/>
        <v>0.4895833333333337</v>
      </c>
      <c r="B31" s="21" t="s">
        <v>4</v>
      </c>
      <c r="C31" s="20">
        <f t="shared" si="6"/>
        <v>0.50000000000000033</v>
      </c>
      <c r="D31" s="22">
        <v>52</v>
      </c>
      <c r="E31" s="26">
        <v>56</v>
      </c>
      <c r="F31" s="26">
        <v>3</v>
      </c>
      <c r="G31" s="26">
        <v>0</v>
      </c>
      <c r="H31" s="26">
        <v>16</v>
      </c>
      <c r="I31" s="32">
        <f t="shared" si="0"/>
        <v>55</v>
      </c>
      <c r="J31" s="32">
        <f t="shared" si="1"/>
        <v>72</v>
      </c>
      <c r="K31" s="22">
        <v>8</v>
      </c>
      <c r="L31" s="22">
        <v>6</v>
      </c>
      <c r="M31" s="22">
        <v>7</v>
      </c>
      <c r="N31" s="26">
        <v>0</v>
      </c>
      <c r="O31" s="22">
        <v>6</v>
      </c>
      <c r="P31" s="34">
        <f t="shared" si="2"/>
        <v>15</v>
      </c>
      <c r="Q31" s="34">
        <f t="shared" si="3"/>
        <v>12</v>
      </c>
      <c r="AG31" s="17"/>
      <c r="AH31" s="17"/>
    </row>
    <row r="32" spans="1:35" s="12" customFormat="1" x14ac:dyDescent="0.25">
      <c r="A32" s="20">
        <f t="shared" si="4"/>
        <v>0.50000000000000033</v>
      </c>
      <c r="B32" s="21" t="s">
        <v>4</v>
      </c>
      <c r="C32" s="20">
        <f t="shared" si="6"/>
        <v>0.51041666666666696</v>
      </c>
      <c r="D32" s="22">
        <v>50</v>
      </c>
      <c r="E32" s="26">
        <v>41</v>
      </c>
      <c r="F32" s="26">
        <v>3</v>
      </c>
      <c r="G32" s="26">
        <v>0</v>
      </c>
      <c r="H32" s="26">
        <v>12</v>
      </c>
      <c r="I32" s="32">
        <f t="shared" si="0"/>
        <v>53</v>
      </c>
      <c r="J32" s="32">
        <f t="shared" si="1"/>
        <v>53</v>
      </c>
      <c r="K32" s="22">
        <v>9</v>
      </c>
      <c r="L32" s="22">
        <v>8</v>
      </c>
      <c r="M32" s="22">
        <v>5</v>
      </c>
      <c r="N32" s="26">
        <v>2</v>
      </c>
      <c r="O32" s="22">
        <v>4</v>
      </c>
      <c r="P32" s="34">
        <f t="shared" si="2"/>
        <v>14</v>
      </c>
      <c r="Q32" s="34">
        <f t="shared" si="3"/>
        <v>14</v>
      </c>
      <c r="AF32" s="18"/>
      <c r="AG32" s="17"/>
      <c r="AH32" s="17"/>
    </row>
    <row r="33" spans="1:34" s="12" customFormat="1" x14ac:dyDescent="0.25">
      <c r="A33" s="20">
        <f t="shared" si="4"/>
        <v>0.51041666666666696</v>
      </c>
      <c r="B33" s="21" t="s">
        <v>4</v>
      </c>
      <c r="C33" s="20">
        <f t="shared" si="6"/>
        <v>0.52083333333333359</v>
      </c>
      <c r="D33" s="22">
        <v>52</v>
      </c>
      <c r="E33" s="26">
        <v>50</v>
      </c>
      <c r="F33" s="26">
        <v>4</v>
      </c>
      <c r="G33" s="26">
        <v>0</v>
      </c>
      <c r="H33" s="26">
        <v>3</v>
      </c>
      <c r="I33" s="32">
        <f t="shared" si="0"/>
        <v>56</v>
      </c>
      <c r="J33" s="32">
        <f t="shared" si="1"/>
        <v>53</v>
      </c>
      <c r="K33" s="22">
        <v>6</v>
      </c>
      <c r="L33" s="22">
        <v>9</v>
      </c>
      <c r="M33" s="22">
        <v>7</v>
      </c>
      <c r="N33" s="26">
        <v>4</v>
      </c>
      <c r="O33" s="22">
        <v>3</v>
      </c>
      <c r="P33" s="34">
        <f t="shared" si="2"/>
        <v>13</v>
      </c>
      <c r="Q33" s="34">
        <f t="shared" si="3"/>
        <v>16</v>
      </c>
      <c r="AF33" s="18"/>
      <c r="AG33" s="19"/>
      <c r="AH33" s="17"/>
    </row>
    <row r="34" spans="1:34" s="12" customFormat="1" x14ac:dyDescent="0.25">
      <c r="A34" s="20">
        <f t="shared" si="4"/>
        <v>0.52083333333333359</v>
      </c>
      <c r="B34" s="21" t="s">
        <v>4</v>
      </c>
      <c r="C34" s="20">
        <f t="shared" si="6"/>
        <v>0.53125000000000022</v>
      </c>
      <c r="D34" s="22">
        <v>67</v>
      </c>
      <c r="E34" s="26">
        <v>46</v>
      </c>
      <c r="F34" s="26">
        <v>4</v>
      </c>
      <c r="G34" s="26">
        <v>0</v>
      </c>
      <c r="H34" s="26">
        <v>5</v>
      </c>
      <c r="I34" s="32">
        <f t="shared" si="0"/>
        <v>71</v>
      </c>
      <c r="J34" s="32">
        <f t="shared" si="1"/>
        <v>51</v>
      </c>
      <c r="K34" s="22">
        <v>7</v>
      </c>
      <c r="L34" s="22">
        <v>8</v>
      </c>
      <c r="M34" s="22">
        <v>12</v>
      </c>
      <c r="N34" s="26">
        <v>0</v>
      </c>
      <c r="O34" s="22">
        <v>11</v>
      </c>
      <c r="P34" s="34">
        <f t="shared" si="2"/>
        <v>19</v>
      </c>
      <c r="Q34" s="34">
        <f t="shared" si="3"/>
        <v>19</v>
      </c>
      <c r="AF34" s="18"/>
      <c r="AG34" s="17"/>
      <c r="AH34" s="17"/>
    </row>
    <row r="35" spans="1:34" s="12" customFormat="1" x14ac:dyDescent="0.25">
      <c r="A35" s="20">
        <f t="shared" si="4"/>
        <v>0.53125000000000022</v>
      </c>
      <c r="B35" s="21" t="s">
        <v>4</v>
      </c>
      <c r="C35" s="20">
        <f t="shared" si="6"/>
        <v>0.54166666666666685</v>
      </c>
      <c r="D35" s="22">
        <v>65</v>
      </c>
      <c r="E35" s="26">
        <v>64</v>
      </c>
      <c r="F35" s="26">
        <v>2</v>
      </c>
      <c r="G35" s="26">
        <v>0</v>
      </c>
      <c r="H35" s="26">
        <v>6</v>
      </c>
      <c r="I35" s="32">
        <f t="shared" si="0"/>
        <v>67</v>
      </c>
      <c r="J35" s="32">
        <f t="shared" si="1"/>
        <v>70</v>
      </c>
      <c r="K35" s="22">
        <v>5</v>
      </c>
      <c r="L35" s="22">
        <v>8</v>
      </c>
      <c r="M35" s="22">
        <v>7</v>
      </c>
      <c r="N35" s="26">
        <v>1</v>
      </c>
      <c r="O35" s="22">
        <v>9</v>
      </c>
      <c r="P35" s="34">
        <f t="shared" si="2"/>
        <v>12</v>
      </c>
      <c r="Q35" s="34">
        <f t="shared" si="3"/>
        <v>18</v>
      </c>
      <c r="AF35" s="18"/>
      <c r="AG35" s="17"/>
      <c r="AH35" s="17"/>
    </row>
    <row r="36" spans="1:34" s="12" customFormat="1" x14ac:dyDescent="0.25">
      <c r="A36" s="20">
        <f t="shared" si="4"/>
        <v>0.54166666666666685</v>
      </c>
      <c r="B36" s="21" t="s">
        <v>4</v>
      </c>
      <c r="C36" s="20">
        <f t="shared" si="6"/>
        <v>0.55208333333333348</v>
      </c>
      <c r="D36" s="22">
        <v>72</v>
      </c>
      <c r="E36" s="26">
        <v>53</v>
      </c>
      <c r="F36" s="26">
        <v>11</v>
      </c>
      <c r="G36" s="26">
        <v>0</v>
      </c>
      <c r="H36" s="26">
        <v>6</v>
      </c>
      <c r="I36" s="32">
        <f t="shared" si="0"/>
        <v>83</v>
      </c>
      <c r="J36" s="32">
        <f t="shared" si="1"/>
        <v>59</v>
      </c>
      <c r="K36" s="22">
        <v>20</v>
      </c>
      <c r="L36" s="22">
        <v>12</v>
      </c>
      <c r="M36" s="22">
        <v>19</v>
      </c>
      <c r="N36" s="26">
        <v>2</v>
      </c>
      <c r="O36" s="22">
        <v>11</v>
      </c>
      <c r="P36" s="34">
        <f t="shared" si="2"/>
        <v>39</v>
      </c>
      <c r="Q36" s="34">
        <f t="shared" si="3"/>
        <v>25</v>
      </c>
      <c r="AF36" s="18"/>
      <c r="AG36" s="17"/>
      <c r="AH36" s="17"/>
    </row>
    <row r="37" spans="1:34" s="12" customFormat="1" x14ac:dyDescent="0.25">
      <c r="A37" s="20">
        <f t="shared" si="4"/>
        <v>0.55208333333333348</v>
      </c>
      <c r="B37" s="21" t="s">
        <v>4</v>
      </c>
      <c r="C37" s="20">
        <f t="shared" si="6"/>
        <v>0.56250000000000011</v>
      </c>
      <c r="D37" s="22">
        <v>68</v>
      </c>
      <c r="E37" s="26">
        <v>66</v>
      </c>
      <c r="F37" s="26">
        <v>1</v>
      </c>
      <c r="G37" s="26">
        <v>0</v>
      </c>
      <c r="H37" s="26">
        <v>11</v>
      </c>
      <c r="I37" s="32">
        <f t="shared" si="0"/>
        <v>69</v>
      </c>
      <c r="J37" s="32">
        <f t="shared" si="1"/>
        <v>77</v>
      </c>
      <c r="K37" s="22">
        <v>8</v>
      </c>
      <c r="L37" s="22">
        <v>7</v>
      </c>
      <c r="M37" s="22">
        <v>4</v>
      </c>
      <c r="N37" s="26">
        <v>2</v>
      </c>
      <c r="O37" s="22">
        <v>12</v>
      </c>
      <c r="P37" s="34">
        <f t="shared" si="2"/>
        <v>12</v>
      </c>
      <c r="Q37" s="34">
        <f t="shared" si="3"/>
        <v>21</v>
      </c>
      <c r="AF37" s="18"/>
      <c r="AG37" s="17"/>
      <c r="AH37" s="17"/>
    </row>
    <row r="38" spans="1:34" s="12" customFormat="1" x14ac:dyDescent="0.25">
      <c r="A38" s="20">
        <f t="shared" si="4"/>
        <v>0.56250000000000011</v>
      </c>
      <c r="B38" s="21" t="s">
        <v>4</v>
      </c>
      <c r="C38" s="20">
        <f t="shared" si="6"/>
        <v>0.57291666666666674</v>
      </c>
      <c r="D38" s="22">
        <v>56</v>
      </c>
      <c r="E38" s="26">
        <v>59</v>
      </c>
      <c r="F38" s="26">
        <v>6</v>
      </c>
      <c r="G38" s="26">
        <v>0</v>
      </c>
      <c r="H38" s="26">
        <v>3</v>
      </c>
      <c r="I38" s="32">
        <f t="shared" si="0"/>
        <v>62</v>
      </c>
      <c r="J38" s="32">
        <f t="shared" si="1"/>
        <v>62</v>
      </c>
      <c r="K38" s="22">
        <v>5</v>
      </c>
      <c r="L38" s="22">
        <v>7</v>
      </c>
      <c r="M38" s="22">
        <v>11</v>
      </c>
      <c r="N38" s="26">
        <v>0</v>
      </c>
      <c r="O38" s="22">
        <v>14</v>
      </c>
      <c r="P38" s="34">
        <f t="shared" si="2"/>
        <v>16</v>
      </c>
      <c r="Q38" s="34">
        <f t="shared" si="3"/>
        <v>21</v>
      </c>
      <c r="AF38" s="18"/>
      <c r="AG38" s="17"/>
      <c r="AH38" s="17"/>
    </row>
    <row r="39" spans="1:34" s="12" customFormat="1" x14ac:dyDescent="0.25">
      <c r="A39" s="20">
        <f t="shared" si="4"/>
        <v>0.57291666666666674</v>
      </c>
      <c r="B39" s="21" t="s">
        <v>4</v>
      </c>
      <c r="C39" s="20">
        <f t="shared" si="6"/>
        <v>0.58333333333333337</v>
      </c>
      <c r="D39" s="22">
        <v>69</v>
      </c>
      <c r="E39" s="26">
        <v>69</v>
      </c>
      <c r="F39" s="26">
        <v>4</v>
      </c>
      <c r="G39" s="26">
        <v>0</v>
      </c>
      <c r="H39" s="26">
        <v>10</v>
      </c>
      <c r="I39" s="32">
        <f t="shared" si="0"/>
        <v>73</v>
      </c>
      <c r="J39" s="32">
        <f t="shared" si="1"/>
        <v>79</v>
      </c>
      <c r="K39" s="22">
        <v>7</v>
      </c>
      <c r="L39" s="22">
        <v>17</v>
      </c>
      <c r="M39" s="22">
        <v>13</v>
      </c>
      <c r="N39" s="26">
        <v>1</v>
      </c>
      <c r="O39" s="22">
        <v>11</v>
      </c>
      <c r="P39" s="34">
        <f t="shared" si="2"/>
        <v>20</v>
      </c>
      <c r="Q39" s="34">
        <f t="shared" si="3"/>
        <v>29</v>
      </c>
      <c r="AF39" s="18"/>
      <c r="AG39" s="17"/>
      <c r="AH39" s="17"/>
    </row>
    <row r="40" spans="1:34" s="12" customFormat="1" x14ac:dyDescent="0.25">
      <c r="A40" s="20">
        <f t="shared" si="4"/>
        <v>0.58333333333333337</v>
      </c>
      <c r="B40" s="21" t="s">
        <v>4</v>
      </c>
      <c r="C40" s="20">
        <f t="shared" si="6"/>
        <v>0.59375</v>
      </c>
      <c r="D40" s="22">
        <v>87</v>
      </c>
      <c r="E40" s="26">
        <v>47</v>
      </c>
      <c r="F40" s="26">
        <v>1</v>
      </c>
      <c r="G40" s="26">
        <v>0</v>
      </c>
      <c r="H40" s="26">
        <v>4</v>
      </c>
      <c r="I40" s="32">
        <f t="shared" si="0"/>
        <v>88</v>
      </c>
      <c r="J40" s="32">
        <f t="shared" si="1"/>
        <v>51</v>
      </c>
      <c r="K40" s="22">
        <v>15</v>
      </c>
      <c r="L40" s="22">
        <v>8</v>
      </c>
      <c r="M40" s="22">
        <v>15</v>
      </c>
      <c r="N40" s="26">
        <v>5</v>
      </c>
      <c r="O40" s="22">
        <v>12</v>
      </c>
      <c r="P40" s="34">
        <f t="shared" si="2"/>
        <v>30</v>
      </c>
      <c r="Q40" s="34">
        <f t="shared" si="3"/>
        <v>25</v>
      </c>
      <c r="AF40" s="18"/>
      <c r="AG40" s="17"/>
      <c r="AH40" s="17"/>
    </row>
    <row r="41" spans="1:34" s="12" customFormat="1" x14ac:dyDescent="0.25">
      <c r="A41" s="20">
        <f t="shared" si="4"/>
        <v>0.59375</v>
      </c>
      <c r="B41" s="21" t="s">
        <v>4</v>
      </c>
      <c r="C41" s="20">
        <f t="shared" si="6"/>
        <v>0.60416666666666663</v>
      </c>
      <c r="D41" s="22">
        <v>95</v>
      </c>
      <c r="E41" s="26">
        <v>91</v>
      </c>
      <c r="F41" s="26">
        <v>4</v>
      </c>
      <c r="G41" s="26">
        <v>0</v>
      </c>
      <c r="H41" s="26">
        <v>3</v>
      </c>
      <c r="I41" s="32">
        <f t="shared" si="0"/>
        <v>99</v>
      </c>
      <c r="J41" s="32">
        <f t="shared" si="1"/>
        <v>94</v>
      </c>
      <c r="K41" s="22">
        <v>5</v>
      </c>
      <c r="L41" s="22">
        <v>6</v>
      </c>
      <c r="M41" s="22">
        <v>21</v>
      </c>
      <c r="N41" s="26">
        <v>3</v>
      </c>
      <c r="O41" s="22">
        <v>11</v>
      </c>
      <c r="P41" s="34">
        <f t="shared" si="2"/>
        <v>26</v>
      </c>
      <c r="Q41" s="34">
        <f t="shared" si="3"/>
        <v>20</v>
      </c>
      <c r="AF41" s="18"/>
      <c r="AG41" s="17"/>
      <c r="AH41" s="17"/>
    </row>
    <row r="42" spans="1:34" s="12" customFormat="1" x14ac:dyDescent="0.25">
      <c r="A42" s="20">
        <f t="shared" si="4"/>
        <v>0.60416666666666663</v>
      </c>
      <c r="B42" s="21" t="s">
        <v>4</v>
      </c>
      <c r="C42" s="20">
        <f t="shared" si="6"/>
        <v>0.61458333333333326</v>
      </c>
      <c r="D42" s="22">
        <v>60</v>
      </c>
      <c r="E42" s="26">
        <v>89</v>
      </c>
      <c r="F42" s="26">
        <v>6</v>
      </c>
      <c r="G42" s="26">
        <v>0</v>
      </c>
      <c r="H42" s="26">
        <v>18</v>
      </c>
      <c r="I42" s="32">
        <f t="shared" si="0"/>
        <v>66</v>
      </c>
      <c r="J42" s="32">
        <f t="shared" si="1"/>
        <v>107</v>
      </c>
      <c r="K42" s="22">
        <v>6</v>
      </c>
      <c r="L42" s="22">
        <v>8</v>
      </c>
      <c r="M42" s="22">
        <v>7</v>
      </c>
      <c r="N42" s="26">
        <v>2</v>
      </c>
      <c r="O42" s="22">
        <v>7</v>
      </c>
      <c r="P42" s="34">
        <f t="shared" si="2"/>
        <v>13</v>
      </c>
      <c r="Q42" s="34">
        <f t="shared" si="3"/>
        <v>17</v>
      </c>
      <c r="AF42" s="18"/>
      <c r="AG42" s="17"/>
      <c r="AH42" s="17"/>
    </row>
    <row r="43" spans="1:34" s="12" customFormat="1" x14ac:dyDescent="0.25">
      <c r="A43" s="20">
        <f t="shared" si="4"/>
        <v>0.61458333333333326</v>
      </c>
      <c r="B43" s="21" t="s">
        <v>4</v>
      </c>
      <c r="C43" s="20">
        <f t="shared" si="6"/>
        <v>0.62499999999999989</v>
      </c>
      <c r="D43" s="22">
        <v>84</v>
      </c>
      <c r="E43" s="26">
        <v>81</v>
      </c>
      <c r="F43" s="26">
        <v>3</v>
      </c>
      <c r="G43" s="26">
        <v>1</v>
      </c>
      <c r="H43" s="26">
        <v>3</v>
      </c>
      <c r="I43" s="32">
        <f t="shared" si="0"/>
        <v>87</v>
      </c>
      <c r="J43" s="32">
        <f t="shared" si="1"/>
        <v>85</v>
      </c>
      <c r="K43" s="22">
        <v>3</v>
      </c>
      <c r="L43" s="22">
        <v>9</v>
      </c>
      <c r="M43" s="22">
        <v>12</v>
      </c>
      <c r="N43" s="26">
        <v>4</v>
      </c>
      <c r="O43" s="22">
        <v>23</v>
      </c>
      <c r="P43" s="34">
        <f t="shared" si="2"/>
        <v>15</v>
      </c>
      <c r="Q43" s="34">
        <f t="shared" si="3"/>
        <v>36</v>
      </c>
      <c r="AF43" s="18"/>
      <c r="AG43" s="17"/>
      <c r="AH43" s="17"/>
    </row>
    <row r="44" spans="1:34" s="12" customFormat="1" x14ac:dyDescent="0.25">
      <c r="A44" s="20">
        <f t="shared" ref="A44:A71" si="7">C43</f>
        <v>0.62499999999999989</v>
      </c>
      <c r="B44" s="21" t="s">
        <v>4</v>
      </c>
      <c r="C44" s="20">
        <f t="shared" ref="C44:C71" si="8">A44+15/(24*60)</f>
        <v>0.63541666666666652</v>
      </c>
      <c r="D44" s="22">
        <v>85</v>
      </c>
      <c r="E44" s="26">
        <v>78</v>
      </c>
      <c r="F44" s="26">
        <v>1</v>
      </c>
      <c r="G44" s="26">
        <v>0</v>
      </c>
      <c r="H44" s="26">
        <v>9</v>
      </c>
      <c r="I44" s="32">
        <f t="shared" si="0"/>
        <v>86</v>
      </c>
      <c r="J44" s="32">
        <f t="shared" si="1"/>
        <v>87</v>
      </c>
      <c r="K44" s="22">
        <v>4</v>
      </c>
      <c r="L44" s="22">
        <v>3</v>
      </c>
      <c r="M44" s="22">
        <v>18</v>
      </c>
      <c r="N44" s="26">
        <v>2</v>
      </c>
      <c r="O44" s="22">
        <v>7</v>
      </c>
      <c r="P44" s="34">
        <f t="shared" si="2"/>
        <v>22</v>
      </c>
      <c r="Q44" s="34">
        <f t="shared" si="3"/>
        <v>12</v>
      </c>
    </row>
    <row r="45" spans="1:34" s="12" customFormat="1" x14ac:dyDescent="0.25">
      <c r="A45" s="20">
        <f t="shared" si="7"/>
        <v>0.63541666666666652</v>
      </c>
      <c r="B45" s="21" t="s">
        <v>4</v>
      </c>
      <c r="C45" s="20">
        <f t="shared" si="8"/>
        <v>0.64583333333333315</v>
      </c>
      <c r="D45" s="22">
        <v>83</v>
      </c>
      <c r="E45" s="26">
        <v>82</v>
      </c>
      <c r="F45" s="26">
        <v>0</v>
      </c>
      <c r="G45" s="26">
        <v>0</v>
      </c>
      <c r="H45" s="26">
        <v>19</v>
      </c>
      <c r="I45" s="32">
        <f t="shared" si="0"/>
        <v>83</v>
      </c>
      <c r="J45" s="32">
        <f t="shared" si="1"/>
        <v>101</v>
      </c>
      <c r="K45" s="22">
        <v>10</v>
      </c>
      <c r="L45" s="22">
        <v>20</v>
      </c>
      <c r="M45" s="22">
        <v>20</v>
      </c>
      <c r="N45" s="26">
        <v>0</v>
      </c>
      <c r="O45" s="22">
        <v>0</v>
      </c>
      <c r="P45" s="34">
        <f t="shared" si="2"/>
        <v>30</v>
      </c>
      <c r="Q45" s="34">
        <f t="shared" si="3"/>
        <v>20</v>
      </c>
    </row>
    <row r="46" spans="1:34" s="12" customFormat="1" x14ac:dyDescent="0.25">
      <c r="A46" s="20">
        <f t="shared" si="7"/>
        <v>0.64583333333333315</v>
      </c>
      <c r="B46" s="21" t="s">
        <v>4</v>
      </c>
      <c r="C46" s="20">
        <f t="shared" si="8"/>
        <v>0.65624999999999978</v>
      </c>
      <c r="D46" s="22">
        <v>83</v>
      </c>
      <c r="E46" s="26">
        <v>92</v>
      </c>
      <c r="F46" s="26">
        <v>7</v>
      </c>
      <c r="G46" s="26">
        <v>0</v>
      </c>
      <c r="H46" s="26">
        <v>14</v>
      </c>
      <c r="I46" s="32">
        <f t="shared" si="0"/>
        <v>90</v>
      </c>
      <c r="J46" s="32">
        <f t="shared" si="1"/>
        <v>106</v>
      </c>
      <c r="K46" s="22">
        <v>7</v>
      </c>
      <c r="L46" s="22">
        <v>19</v>
      </c>
      <c r="M46" s="22">
        <v>16</v>
      </c>
      <c r="N46" s="26">
        <v>0</v>
      </c>
      <c r="O46" s="22">
        <v>27</v>
      </c>
      <c r="P46" s="34">
        <f t="shared" si="2"/>
        <v>23</v>
      </c>
      <c r="Q46" s="34">
        <f t="shared" si="3"/>
        <v>46</v>
      </c>
    </row>
    <row r="47" spans="1:34" s="12" customFormat="1" x14ac:dyDescent="0.25">
      <c r="A47" s="20">
        <f t="shared" si="7"/>
        <v>0.65624999999999978</v>
      </c>
      <c r="B47" s="21" t="s">
        <v>4</v>
      </c>
      <c r="C47" s="20">
        <f t="shared" si="8"/>
        <v>0.66666666666666641</v>
      </c>
      <c r="D47" s="22">
        <v>70</v>
      </c>
      <c r="E47" s="26">
        <v>57</v>
      </c>
      <c r="F47" s="26">
        <v>2</v>
      </c>
      <c r="G47" s="26">
        <v>0</v>
      </c>
      <c r="H47" s="26">
        <v>8</v>
      </c>
      <c r="I47" s="32">
        <f t="shared" si="0"/>
        <v>72</v>
      </c>
      <c r="J47" s="32">
        <f t="shared" si="1"/>
        <v>65</v>
      </c>
      <c r="K47" s="22">
        <v>13</v>
      </c>
      <c r="L47" s="22">
        <v>17</v>
      </c>
      <c r="M47" s="22">
        <v>20</v>
      </c>
      <c r="N47" s="26">
        <v>0</v>
      </c>
      <c r="O47" s="22">
        <v>12</v>
      </c>
      <c r="P47" s="34">
        <f t="shared" si="2"/>
        <v>33</v>
      </c>
      <c r="Q47" s="34">
        <f t="shared" si="3"/>
        <v>29</v>
      </c>
    </row>
    <row r="48" spans="1:34" s="12" customFormat="1" x14ac:dyDescent="0.25">
      <c r="A48" s="20">
        <f t="shared" si="7"/>
        <v>0.66666666666666641</v>
      </c>
      <c r="B48" s="21" t="s">
        <v>4</v>
      </c>
      <c r="C48" s="20">
        <f t="shared" si="8"/>
        <v>0.67708333333333304</v>
      </c>
      <c r="D48" s="22">
        <v>73</v>
      </c>
      <c r="E48" s="26">
        <v>56</v>
      </c>
      <c r="F48" s="26">
        <v>8</v>
      </c>
      <c r="G48" s="26">
        <v>0</v>
      </c>
      <c r="H48" s="26">
        <v>2</v>
      </c>
      <c r="I48" s="32">
        <f t="shared" si="0"/>
        <v>81</v>
      </c>
      <c r="J48" s="32">
        <f t="shared" si="1"/>
        <v>58</v>
      </c>
      <c r="K48" s="22">
        <v>6</v>
      </c>
      <c r="L48" s="22">
        <v>10</v>
      </c>
      <c r="M48" s="22">
        <v>20</v>
      </c>
      <c r="N48" s="26">
        <v>0</v>
      </c>
      <c r="O48" s="22">
        <v>9</v>
      </c>
      <c r="P48" s="34">
        <f t="shared" si="2"/>
        <v>26</v>
      </c>
      <c r="Q48" s="34">
        <f t="shared" si="3"/>
        <v>19</v>
      </c>
    </row>
    <row r="49" spans="1:17" s="12" customFormat="1" x14ac:dyDescent="0.25">
      <c r="A49" s="20">
        <f t="shared" si="7"/>
        <v>0.67708333333333304</v>
      </c>
      <c r="B49" s="21" t="s">
        <v>4</v>
      </c>
      <c r="C49" s="20">
        <f t="shared" si="8"/>
        <v>0.68749999999999967</v>
      </c>
      <c r="D49" s="22">
        <v>51</v>
      </c>
      <c r="E49" s="26">
        <v>68</v>
      </c>
      <c r="F49" s="26">
        <v>8</v>
      </c>
      <c r="G49" s="26">
        <v>0</v>
      </c>
      <c r="H49" s="26">
        <v>5</v>
      </c>
      <c r="I49" s="32">
        <f t="shared" si="0"/>
        <v>59</v>
      </c>
      <c r="J49" s="32">
        <f t="shared" si="1"/>
        <v>73</v>
      </c>
      <c r="K49" s="22">
        <v>26</v>
      </c>
      <c r="L49" s="22">
        <v>21</v>
      </c>
      <c r="M49" s="22">
        <v>14</v>
      </c>
      <c r="N49" s="26">
        <v>0</v>
      </c>
      <c r="O49" s="22">
        <v>7</v>
      </c>
      <c r="P49" s="34">
        <f t="shared" si="2"/>
        <v>40</v>
      </c>
      <c r="Q49" s="34">
        <f t="shared" si="3"/>
        <v>28</v>
      </c>
    </row>
    <row r="50" spans="1:17" s="12" customFormat="1" x14ac:dyDescent="0.25">
      <c r="A50" s="20">
        <f t="shared" si="7"/>
        <v>0.68749999999999967</v>
      </c>
      <c r="B50" s="21" t="s">
        <v>4</v>
      </c>
      <c r="C50" s="20">
        <f t="shared" si="8"/>
        <v>0.6979166666666663</v>
      </c>
      <c r="D50" s="22">
        <v>44</v>
      </c>
      <c r="E50" s="26">
        <v>40</v>
      </c>
      <c r="F50" s="26">
        <v>10</v>
      </c>
      <c r="G50" s="26">
        <v>0</v>
      </c>
      <c r="H50" s="26">
        <v>5</v>
      </c>
      <c r="I50" s="32">
        <f t="shared" si="0"/>
        <v>54</v>
      </c>
      <c r="J50" s="32">
        <f t="shared" si="1"/>
        <v>45</v>
      </c>
      <c r="K50" s="22">
        <v>7</v>
      </c>
      <c r="L50" s="22">
        <v>6</v>
      </c>
      <c r="M50" s="22">
        <v>5</v>
      </c>
      <c r="N50" s="26">
        <v>2</v>
      </c>
      <c r="O50" s="22">
        <v>5</v>
      </c>
      <c r="P50" s="34">
        <f t="shared" si="2"/>
        <v>12</v>
      </c>
      <c r="Q50" s="34">
        <f t="shared" si="3"/>
        <v>13</v>
      </c>
    </row>
    <row r="51" spans="1:17" s="12" customFormat="1" x14ac:dyDescent="0.25">
      <c r="A51" s="20">
        <f t="shared" si="7"/>
        <v>0.6979166666666663</v>
      </c>
      <c r="B51" s="21" t="s">
        <v>4</v>
      </c>
      <c r="C51" s="20">
        <f t="shared" si="8"/>
        <v>0.70833333333333293</v>
      </c>
      <c r="D51" s="22">
        <v>33</v>
      </c>
      <c r="E51" s="26">
        <v>46</v>
      </c>
      <c r="F51" s="26">
        <v>5</v>
      </c>
      <c r="G51" s="26">
        <v>0</v>
      </c>
      <c r="H51" s="26">
        <v>4</v>
      </c>
      <c r="I51" s="32">
        <f t="shared" si="0"/>
        <v>38</v>
      </c>
      <c r="J51" s="32">
        <f t="shared" si="1"/>
        <v>50</v>
      </c>
      <c r="K51" s="22">
        <v>6</v>
      </c>
      <c r="L51" s="22">
        <v>3</v>
      </c>
      <c r="M51" s="22">
        <v>11</v>
      </c>
      <c r="N51" s="26">
        <v>0</v>
      </c>
      <c r="O51" s="22">
        <v>8</v>
      </c>
      <c r="P51" s="34">
        <f t="shared" si="2"/>
        <v>17</v>
      </c>
      <c r="Q51" s="34">
        <f t="shared" si="3"/>
        <v>11</v>
      </c>
    </row>
    <row r="52" spans="1:17" s="12" customFormat="1" x14ac:dyDescent="0.25">
      <c r="A52" s="20">
        <f t="shared" si="7"/>
        <v>0.70833333333333293</v>
      </c>
      <c r="B52" s="21" t="s">
        <v>4</v>
      </c>
      <c r="C52" s="20">
        <f t="shared" si="8"/>
        <v>0.71874999999999956</v>
      </c>
      <c r="D52" s="22">
        <v>66</v>
      </c>
      <c r="E52" s="26">
        <v>20</v>
      </c>
      <c r="F52" s="26">
        <v>3</v>
      </c>
      <c r="G52" s="26">
        <v>0</v>
      </c>
      <c r="H52" s="26">
        <v>3</v>
      </c>
      <c r="I52" s="32">
        <f t="shared" si="0"/>
        <v>69</v>
      </c>
      <c r="J52" s="32">
        <f t="shared" si="1"/>
        <v>23</v>
      </c>
      <c r="K52" s="22">
        <v>10</v>
      </c>
      <c r="L52" s="22">
        <v>6</v>
      </c>
      <c r="M52" s="22">
        <v>3</v>
      </c>
      <c r="N52" s="26">
        <v>2</v>
      </c>
      <c r="O52" s="22">
        <v>1</v>
      </c>
      <c r="P52" s="34">
        <f t="shared" si="2"/>
        <v>13</v>
      </c>
      <c r="Q52" s="34">
        <f t="shared" si="3"/>
        <v>9</v>
      </c>
    </row>
    <row r="53" spans="1:17" s="12" customFormat="1" x14ac:dyDescent="0.25">
      <c r="A53" s="20">
        <f t="shared" si="7"/>
        <v>0.71874999999999956</v>
      </c>
      <c r="B53" s="21" t="s">
        <v>4</v>
      </c>
      <c r="C53" s="20">
        <f t="shared" si="8"/>
        <v>0.72916666666666619</v>
      </c>
      <c r="D53" s="22">
        <v>22</v>
      </c>
      <c r="E53" s="26">
        <v>21</v>
      </c>
      <c r="F53" s="26">
        <v>4</v>
      </c>
      <c r="G53" s="26">
        <v>1</v>
      </c>
      <c r="H53" s="26">
        <v>12</v>
      </c>
      <c r="I53" s="32">
        <f t="shared" si="0"/>
        <v>26</v>
      </c>
      <c r="J53" s="32">
        <f t="shared" si="1"/>
        <v>34</v>
      </c>
      <c r="K53" s="22">
        <v>3</v>
      </c>
      <c r="L53" s="22">
        <v>1</v>
      </c>
      <c r="M53" s="22">
        <v>0</v>
      </c>
      <c r="N53" s="26">
        <v>2</v>
      </c>
      <c r="O53" s="22">
        <v>1</v>
      </c>
      <c r="P53" s="34">
        <f t="shared" si="2"/>
        <v>3</v>
      </c>
      <c r="Q53" s="34">
        <f t="shared" si="3"/>
        <v>4</v>
      </c>
    </row>
    <row r="54" spans="1:17" s="12" customFormat="1" x14ac:dyDescent="0.25">
      <c r="A54" s="20">
        <f t="shared" si="7"/>
        <v>0.72916666666666619</v>
      </c>
      <c r="B54" s="21" t="s">
        <v>4</v>
      </c>
      <c r="C54" s="20">
        <f t="shared" si="8"/>
        <v>0.73958333333333282</v>
      </c>
      <c r="D54" s="22">
        <v>30</v>
      </c>
      <c r="E54" s="26">
        <v>16</v>
      </c>
      <c r="F54" s="26">
        <v>5</v>
      </c>
      <c r="G54" s="26">
        <v>0</v>
      </c>
      <c r="H54" s="26">
        <v>8</v>
      </c>
      <c r="I54" s="32">
        <f t="shared" si="0"/>
        <v>35</v>
      </c>
      <c r="J54" s="32">
        <f t="shared" si="1"/>
        <v>24</v>
      </c>
      <c r="K54" s="22">
        <v>2</v>
      </c>
      <c r="L54" s="22">
        <v>9</v>
      </c>
      <c r="M54" s="22">
        <v>3</v>
      </c>
      <c r="N54" s="26">
        <v>0</v>
      </c>
      <c r="O54" s="22">
        <v>1</v>
      </c>
      <c r="P54" s="34">
        <f t="shared" si="2"/>
        <v>5</v>
      </c>
      <c r="Q54" s="34">
        <f t="shared" si="3"/>
        <v>10</v>
      </c>
    </row>
    <row r="55" spans="1:17" s="12" customFormat="1" x14ac:dyDescent="0.25">
      <c r="A55" s="20">
        <f t="shared" si="7"/>
        <v>0.73958333333333282</v>
      </c>
      <c r="B55" s="21" t="s">
        <v>4</v>
      </c>
      <c r="C55" s="20">
        <f t="shared" si="8"/>
        <v>0.74999999999999944</v>
      </c>
      <c r="D55" s="22">
        <v>11</v>
      </c>
      <c r="E55" s="26">
        <v>13</v>
      </c>
      <c r="F55" s="26">
        <v>4</v>
      </c>
      <c r="G55" s="26">
        <v>0</v>
      </c>
      <c r="H55" s="26">
        <v>11</v>
      </c>
      <c r="I55" s="32">
        <f t="shared" si="0"/>
        <v>15</v>
      </c>
      <c r="J55" s="32">
        <f t="shared" si="1"/>
        <v>24</v>
      </c>
      <c r="K55" s="22">
        <v>0</v>
      </c>
      <c r="L55" s="22">
        <v>4</v>
      </c>
      <c r="M55" s="22">
        <v>2</v>
      </c>
      <c r="N55" s="26">
        <v>0</v>
      </c>
      <c r="O55" s="22">
        <v>1</v>
      </c>
      <c r="P55" s="34">
        <f t="shared" si="2"/>
        <v>2</v>
      </c>
      <c r="Q55" s="34">
        <f t="shared" si="3"/>
        <v>5</v>
      </c>
    </row>
    <row r="56" spans="1:17" s="12" customFormat="1" x14ac:dyDescent="0.25">
      <c r="A56" s="20">
        <f t="shared" si="7"/>
        <v>0.74999999999999944</v>
      </c>
      <c r="B56" s="21" t="s">
        <v>4</v>
      </c>
      <c r="C56" s="20">
        <f t="shared" si="8"/>
        <v>0.76041666666666607</v>
      </c>
      <c r="D56" s="22">
        <v>11</v>
      </c>
      <c r="E56" s="26">
        <v>8</v>
      </c>
      <c r="F56" s="26">
        <v>3</v>
      </c>
      <c r="G56" s="26">
        <v>0</v>
      </c>
      <c r="H56" s="26">
        <v>5</v>
      </c>
      <c r="I56" s="32">
        <f t="shared" si="0"/>
        <v>14</v>
      </c>
      <c r="J56" s="32">
        <f t="shared" si="1"/>
        <v>13</v>
      </c>
      <c r="K56" s="22">
        <v>1</v>
      </c>
      <c r="L56" s="22">
        <v>0</v>
      </c>
      <c r="M56" s="22">
        <v>1</v>
      </c>
      <c r="N56" s="26">
        <v>0</v>
      </c>
      <c r="O56" s="22">
        <v>1</v>
      </c>
      <c r="P56" s="34">
        <f t="shared" si="2"/>
        <v>2</v>
      </c>
      <c r="Q56" s="34">
        <f t="shared" si="3"/>
        <v>1</v>
      </c>
    </row>
    <row r="57" spans="1:17" s="12" customFormat="1" x14ac:dyDescent="0.25">
      <c r="A57" s="20">
        <f t="shared" si="7"/>
        <v>0.76041666666666607</v>
      </c>
      <c r="B57" s="21" t="s">
        <v>4</v>
      </c>
      <c r="C57" s="20">
        <f t="shared" si="8"/>
        <v>0.7708333333333327</v>
      </c>
      <c r="D57" s="22">
        <v>8</v>
      </c>
      <c r="E57" s="26">
        <v>3</v>
      </c>
      <c r="F57" s="26">
        <v>3</v>
      </c>
      <c r="G57" s="26">
        <v>0</v>
      </c>
      <c r="H57" s="26">
        <v>7</v>
      </c>
      <c r="I57" s="32">
        <f t="shared" si="0"/>
        <v>11</v>
      </c>
      <c r="J57" s="32">
        <f t="shared" si="1"/>
        <v>10</v>
      </c>
      <c r="K57" s="22">
        <v>1</v>
      </c>
      <c r="L57" s="22">
        <v>1</v>
      </c>
      <c r="M57" s="22">
        <v>3</v>
      </c>
      <c r="N57" s="26">
        <v>0</v>
      </c>
      <c r="O57" s="22">
        <v>1</v>
      </c>
      <c r="P57" s="34">
        <f t="shared" si="2"/>
        <v>4</v>
      </c>
      <c r="Q57" s="34">
        <f t="shared" si="3"/>
        <v>2</v>
      </c>
    </row>
    <row r="58" spans="1:17" s="12" customFormat="1" x14ac:dyDescent="0.25">
      <c r="A58" s="20">
        <f t="shared" si="7"/>
        <v>0.7708333333333327</v>
      </c>
      <c r="B58" s="21" t="s">
        <v>4</v>
      </c>
      <c r="C58" s="20">
        <f t="shared" si="8"/>
        <v>0.78124999999999933</v>
      </c>
      <c r="D58" s="22">
        <v>7</v>
      </c>
      <c r="E58" s="26">
        <v>4</v>
      </c>
      <c r="F58" s="26">
        <v>1</v>
      </c>
      <c r="G58" s="26">
        <v>0</v>
      </c>
      <c r="H58" s="26">
        <v>5</v>
      </c>
      <c r="I58" s="32">
        <f t="shared" si="0"/>
        <v>8</v>
      </c>
      <c r="J58" s="32">
        <f t="shared" si="1"/>
        <v>9</v>
      </c>
      <c r="K58" s="22">
        <v>0</v>
      </c>
      <c r="L58" s="22">
        <v>0</v>
      </c>
      <c r="M58" s="22">
        <v>2</v>
      </c>
      <c r="N58" s="26">
        <v>0</v>
      </c>
      <c r="O58" s="22">
        <v>0</v>
      </c>
      <c r="P58" s="34">
        <f t="shared" si="2"/>
        <v>2</v>
      </c>
      <c r="Q58" s="34">
        <f t="shared" si="3"/>
        <v>0</v>
      </c>
    </row>
    <row r="59" spans="1:17" s="12" customFormat="1" x14ac:dyDescent="0.25">
      <c r="A59" s="20">
        <f t="shared" si="7"/>
        <v>0.78124999999999933</v>
      </c>
      <c r="B59" s="21" t="s">
        <v>4</v>
      </c>
      <c r="C59" s="20">
        <f t="shared" si="8"/>
        <v>0.79166666666666596</v>
      </c>
      <c r="D59" s="22">
        <v>8</v>
      </c>
      <c r="E59" s="26">
        <v>8</v>
      </c>
      <c r="F59" s="26">
        <v>2</v>
      </c>
      <c r="G59" s="26">
        <v>0</v>
      </c>
      <c r="H59" s="26">
        <v>0</v>
      </c>
      <c r="I59" s="32">
        <f t="shared" si="0"/>
        <v>10</v>
      </c>
      <c r="J59" s="32">
        <f t="shared" si="1"/>
        <v>8</v>
      </c>
      <c r="K59" s="22">
        <v>2</v>
      </c>
      <c r="L59" s="22">
        <v>2</v>
      </c>
      <c r="M59" s="22">
        <v>0</v>
      </c>
      <c r="N59" s="26">
        <v>0</v>
      </c>
      <c r="O59" s="22">
        <v>3</v>
      </c>
      <c r="P59" s="34">
        <f t="shared" si="2"/>
        <v>2</v>
      </c>
      <c r="Q59" s="34">
        <f t="shared" si="3"/>
        <v>5</v>
      </c>
    </row>
    <row r="60" spans="1:17" s="12" customFormat="1" x14ac:dyDescent="0.25">
      <c r="A60" s="20">
        <f t="shared" si="7"/>
        <v>0.79166666666666596</v>
      </c>
      <c r="B60" s="21" t="s">
        <v>4</v>
      </c>
      <c r="C60" s="20">
        <f t="shared" si="8"/>
        <v>0.80208333333333259</v>
      </c>
      <c r="D60" s="22">
        <v>5</v>
      </c>
      <c r="E60" s="26">
        <v>2</v>
      </c>
      <c r="F60" s="26">
        <v>0</v>
      </c>
      <c r="G60" s="26">
        <v>0</v>
      </c>
      <c r="H60" s="26">
        <v>0</v>
      </c>
      <c r="I60" s="32">
        <f t="shared" si="0"/>
        <v>5</v>
      </c>
      <c r="J60" s="32">
        <f t="shared" si="1"/>
        <v>2</v>
      </c>
      <c r="K60" s="22">
        <v>2</v>
      </c>
      <c r="L60" s="22">
        <v>0</v>
      </c>
      <c r="M60" s="22">
        <v>6</v>
      </c>
      <c r="N60" s="26">
        <v>2</v>
      </c>
      <c r="O60" s="22">
        <v>0</v>
      </c>
      <c r="P60" s="34">
        <f t="shared" si="2"/>
        <v>8</v>
      </c>
      <c r="Q60" s="34">
        <f t="shared" si="3"/>
        <v>2</v>
      </c>
    </row>
    <row r="61" spans="1:17" s="12" customFormat="1" x14ac:dyDescent="0.25">
      <c r="A61" s="20">
        <f t="shared" si="7"/>
        <v>0.80208333333333259</v>
      </c>
      <c r="B61" s="21" t="s">
        <v>4</v>
      </c>
      <c r="C61" s="20">
        <f t="shared" si="8"/>
        <v>0.81249999999999922</v>
      </c>
      <c r="D61" s="22">
        <v>9</v>
      </c>
      <c r="E61" s="26">
        <v>1</v>
      </c>
      <c r="F61" s="26">
        <v>0</v>
      </c>
      <c r="G61" s="26">
        <v>0</v>
      </c>
      <c r="H61" s="26">
        <v>1</v>
      </c>
      <c r="I61" s="32">
        <f t="shared" si="0"/>
        <v>9</v>
      </c>
      <c r="J61" s="32">
        <f t="shared" si="1"/>
        <v>2</v>
      </c>
      <c r="K61" s="22">
        <v>0</v>
      </c>
      <c r="L61" s="22">
        <v>0</v>
      </c>
      <c r="M61" s="22">
        <v>0</v>
      </c>
      <c r="N61" s="26">
        <v>0</v>
      </c>
      <c r="O61" s="22">
        <v>0</v>
      </c>
      <c r="P61" s="34">
        <f t="shared" si="2"/>
        <v>0</v>
      </c>
      <c r="Q61" s="34">
        <f t="shared" si="3"/>
        <v>0</v>
      </c>
    </row>
    <row r="62" spans="1:17" s="12" customFormat="1" x14ac:dyDescent="0.25">
      <c r="A62" s="20">
        <f t="shared" si="7"/>
        <v>0.81249999999999922</v>
      </c>
      <c r="B62" s="21" t="s">
        <v>4</v>
      </c>
      <c r="C62" s="20">
        <f t="shared" si="8"/>
        <v>0.82291666666666585</v>
      </c>
      <c r="D62" s="22">
        <v>4</v>
      </c>
      <c r="E62" s="26">
        <v>2</v>
      </c>
      <c r="F62" s="26">
        <v>1</v>
      </c>
      <c r="G62" s="26">
        <v>0</v>
      </c>
      <c r="H62" s="26">
        <v>1</v>
      </c>
      <c r="I62" s="32">
        <f t="shared" si="0"/>
        <v>5</v>
      </c>
      <c r="J62" s="32">
        <f t="shared" si="1"/>
        <v>3</v>
      </c>
      <c r="K62" s="22">
        <v>2</v>
      </c>
      <c r="L62" s="22">
        <v>2</v>
      </c>
      <c r="M62" s="22">
        <v>2</v>
      </c>
      <c r="N62" s="26">
        <v>0</v>
      </c>
      <c r="O62" s="22">
        <v>0</v>
      </c>
      <c r="P62" s="34">
        <f t="shared" si="2"/>
        <v>4</v>
      </c>
      <c r="Q62" s="34">
        <f t="shared" si="3"/>
        <v>2</v>
      </c>
    </row>
    <row r="63" spans="1:17" s="12" customFormat="1" x14ac:dyDescent="0.25">
      <c r="A63" s="20">
        <f t="shared" si="7"/>
        <v>0.82291666666666585</v>
      </c>
      <c r="B63" s="21" t="s">
        <v>4</v>
      </c>
      <c r="C63" s="20">
        <f t="shared" si="8"/>
        <v>0.83333333333333248</v>
      </c>
      <c r="D63" s="22">
        <v>2</v>
      </c>
      <c r="E63" s="26">
        <v>2</v>
      </c>
      <c r="F63" s="26">
        <v>0</v>
      </c>
      <c r="G63" s="26">
        <v>0</v>
      </c>
      <c r="H63" s="26">
        <v>1</v>
      </c>
      <c r="I63" s="32">
        <f t="shared" si="0"/>
        <v>2</v>
      </c>
      <c r="J63" s="32">
        <f t="shared" si="1"/>
        <v>3</v>
      </c>
      <c r="K63" s="22">
        <v>0</v>
      </c>
      <c r="L63" s="22">
        <v>1</v>
      </c>
      <c r="M63" s="22">
        <v>0</v>
      </c>
      <c r="N63" s="26">
        <v>1</v>
      </c>
      <c r="O63" s="22">
        <v>0</v>
      </c>
      <c r="P63" s="34">
        <f t="shared" si="2"/>
        <v>0</v>
      </c>
      <c r="Q63" s="34">
        <f t="shared" si="3"/>
        <v>2</v>
      </c>
    </row>
    <row r="64" spans="1:17" s="12" customFormat="1" x14ac:dyDescent="0.25">
      <c r="A64" s="20">
        <f t="shared" si="7"/>
        <v>0.83333333333333248</v>
      </c>
      <c r="B64" s="21" t="s">
        <v>4</v>
      </c>
      <c r="C64" s="20">
        <f t="shared" si="8"/>
        <v>0.84374999999999911</v>
      </c>
      <c r="D64" s="22">
        <v>0</v>
      </c>
      <c r="E64" s="26">
        <v>4</v>
      </c>
      <c r="F64" s="26">
        <v>0</v>
      </c>
      <c r="G64" s="26">
        <v>0</v>
      </c>
      <c r="H64" s="26">
        <v>0</v>
      </c>
      <c r="I64" s="32">
        <f t="shared" si="0"/>
        <v>0</v>
      </c>
      <c r="J64" s="32">
        <f t="shared" si="1"/>
        <v>4</v>
      </c>
      <c r="K64" s="22">
        <v>0</v>
      </c>
      <c r="L64" s="22">
        <v>0</v>
      </c>
      <c r="M64" s="22">
        <v>0</v>
      </c>
      <c r="N64" s="26">
        <v>0</v>
      </c>
      <c r="O64" s="22">
        <v>0</v>
      </c>
      <c r="P64" s="34">
        <f t="shared" si="2"/>
        <v>0</v>
      </c>
      <c r="Q64" s="34">
        <f t="shared" si="3"/>
        <v>0</v>
      </c>
    </row>
    <row r="65" spans="1:17" s="12" customFormat="1" x14ac:dyDescent="0.25">
      <c r="A65" s="20">
        <f t="shared" si="7"/>
        <v>0.84374999999999911</v>
      </c>
      <c r="B65" s="21" t="s">
        <v>4</v>
      </c>
      <c r="C65" s="20">
        <f t="shared" si="8"/>
        <v>0.85416666666666574</v>
      </c>
      <c r="D65" s="22">
        <v>1</v>
      </c>
      <c r="E65" s="26">
        <v>0</v>
      </c>
      <c r="F65" s="26">
        <v>0</v>
      </c>
      <c r="G65" s="26">
        <v>0</v>
      </c>
      <c r="H65" s="26">
        <v>0</v>
      </c>
      <c r="I65" s="32">
        <f t="shared" si="0"/>
        <v>1</v>
      </c>
      <c r="J65" s="32">
        <f t="shared" si="1"/>
        <v>0</v>
      </c>
      <c r="K65" s="22">
        <v>0</v>
      </c>
      <c r="L65" s="22">
        <v>0</v>
      </c>
      <c r="M65" s="22">
        <v>1</v>
      </c>
      <c r="N65" s="26">
        <v>0</v>
      </c>
      <c r="O65" s="22">
        <v>0</v>
      </c>
      <c r="P65" s="34">
        <f t="shared" si="2"/>
        <v>1</v>
      </c>
      <c r="Q65" s="34">
        <f t="shared" si="3"/>
        <v>0</v>
      </c>
    </row>
    <row r="66" spans="1:17" s="12" customFormat="1" x14ac:dyDescent="0.25">
      <c r="A66" s="20">
        <f t="shared" si="7"/>
        <v>0.85416666666666574</v>
      </c>
      <c r="B66" s="21" t="s">
        <v>4</v>
      </c>
      <c r="C66" s="20">
        <f t="shared" si="8"/>
        <v>0.86458333333333237</v>
      </c>
      <c r="D66" s="22">
        <v>2</v>
      </c>
      <c r="E66" s="26">
        <v>3</v>
      </c>
      <c r="F66" s="26">
        <v>1</v>
      </c>
      <c r="G66" s="26">
        <v>0</v>
      </c>
      <c r="H66" s="26">
        <v>0</v>
      </c>
      <c r="I66" s="32">
        <f t="shared" si="0"/>
        <v>3</v>
      </c>
      <c r="J66" s="32">
        <f t="shared" si="1"/>
        <v>3</v>
      </c>
      <c r="K66" s="22">
        <v>1</v>
      </c>
      <c r="L66" s="22">
        <v>1</v>
      </c>
      <c r="M66" s="22">
        <v>2</v>
      </c>
      <c r="N66" s="26">
        <v>0</v>
      </c>
      <c r="O66" s="22">
        <v>1</v>
      </c>
      <c r="P66" s="34">
        <f t="shared" si="2"/>
        <v>3</v>
      </c>
      <c r="Q66" s="34">
        <f t="shared" si="3"/>
        <v>2</v>
      </c>
    </row>
    <row r="67" spans="1:17" s="12" customFormat="1" x14ac:dyDescent="0.25">
      <c r="A67" s="20">
        <f t="shared" si="7"/>
        <v>0.86458333333333237</v>
      </c>
      <c r="B67" s="21" t="s">
        <v>4</v>
      </c>
      <c r="C67" s="20">
        <f t="shared" si="8"/>
        <v>0.874999999999999</v>
      </c>
      <c r="D67" s="22">
        <v>0</v>
      </c>
      <c r="E67" s="26">
        <v>1</v>
      </c>
      <c r="F67" s="26">
        <v>1</v>
      </c>
      <c r="G67" s="26">
        <v>3</v>
      </c>
      <c r="H67" s="26">
        <v>0</v>
      </c>
      <c r="I67" s="32">
        <f t="shared" si="0"/>
        <v>1</v>
      </c>
      <c r="J67" s="32">
        <f t="shared" si="1"/>
        <v>4</v>
      </c>
      <c r="K67" s="22">
        <v>2</v>
      </c>
      <c r="L67" s="22">
        <v>5</v>
      </c>
      <c r="M67" s="22">
        <v>0</v>
      </c>
      <c r="N67" s="26">
        <v>0</v>
      </c>
      <c r="O67" s="22">
        <v>0</v>
      </c>
      <c r="P67" s="34">
        <f t="shared" si="2"/>
        <v>2</v>
      </c>
      <c r="Q67" s="34">
        <f t="shared" si="3"/>
        <v>5</v>
      </c>
    </row>
    <row r="68" spans="1:17" s="12" customFormat="1" x14ac:dyDescent="0.25">
      <c r="A68" s="20">
        <f t="shared" si="7"/>
        <v>0.874999999999999</v>
      </c>
      <c r="B68" s="21" t="s">
        <v>4</v>
      </c>
      <c r="C68" s="20">
        <f t="shared" si="8"/>
        <v>0.88541666666666563</v>
      </c>
      <c r="D68" s="22">
        <v>0</v>
      </c>
      <c r="E68" s="26">
        <v>1</v>
      </c>
      <c r="F68" s="26">
        <v>0</v>
      </c>
      <c r="G68" s="26">
        <v>0</v>
      </c>
      <c r="H68" s="26">
        <v>0</v>
      </c>
      <c r="I68" s="32">
        <f t="shared" si="0"/>
        <v>0</v>
      </c>
      <c r="J68" s="32">
        <f t="shared" si="1"/>
        <v>1</v>
      </c>
      <c r="K68" s="22">
        <v>2</v>
      </c>
      <c r="L68" s="22">
        <v>2</v>
      </c>
      <c r="M68" s="22">
        <v>2</v>
      </c>
      <c r="N68" s="26">
        <v>0</v>
      </c>
      <c r="O68" s="22">
        <v>0</v>
      </c>
      <c r="P68" s="34">
        <f t="shared" si="2"/>
        <v>4</v>
      </c>
      <c r="Q68" s="34">
        <f t="shared" si="3"/>
        <v>2</v>
      </c>
    </row>
    <row r="69" spans="1:17" s="12" customFormat="1" x14ac:dyDescent="0.25">
      <c r="A69" s="20">
        <f t="shared" si="7"/>
        <v>0.88541666666666563</v>
      </c>
      <c r="B69" s="21" t="s">
        <v>4</v>
      </c>
      <c r="C69" s="20">
        <f t="shared" si="8"/>
        <v>0.89583333333333226</v>
      </c>
      <c r="D69" s="22">
        <v>1</v>
      </c>
      <c r="E69" s="26">
        <v>1</v>
      </c>
      <c r="F69" s="26">
        <v>0</v>
      </c>
      <c r="G69" s="26">
        <v>0</v>
      </c>
      <c r="H69" s="26">
        <v>0</v>
      </c>
      <c r="I69" s="32">
        <f t="shared" si="0"/>
        <v>1</v>
      </c>
      <c r="J69" s="32">
        <f t="shared" si="1"/>
        <v>1</v>
      </c>
      <c r="K69" s="22">
        <v>0</v>
      </c>
      <c r="L69" s="22">
        <v>0</v>
      </c>
      <c r="M69" s="22">
        <v>0</v>
      </c>
      <c r="N69" s="26">
        <v>0</v>
      </c>
      <c r="O69" s="22">
        <v>0</v>
      </c>
      <c r="P69" s="34">
        <f t="shared" si="2"/>
        <v>0</v>
      </c>
      <c r="Q69" s="34">
        <f t="shared" si="3"/>
        <v>0</v>
      </c>
    </row>
    <row r="70" spans="1:17" s="12" customFormat="1" x14ac:dyDescent="0.25">
      <c r="A70" s="20">
        <f t="shared" si="7"/>
        <v>0.89583333333333226</v>
      </c>
      <c r="B70" s="21" t="s">
        <v>4</v>
      </c>
      <c r="C70" s="20">
        <f t="shared" si="8"/>
        <v>0.90624999999999889</v>
      </c>
      <c r="D70" s="22">
        <v>2</v>
      </c>
      <c r="E70" s="26">
        <v>0</v>
      </c>
      <c r="F70" s="26">
        <v>0</v>
      </c>
      <c r="G70" s="26">
        <v>0</v>
      </c>
      <c r="H70" s="26">
        <v>2</v>
      </c>
      <c r="I70" s="32">
        <f t="shared" si="0"/>
        <v>2</v>
      </c>
      <c r="J70" s="32">
        <f t="shared" si="1"/>
        <v>2</v>
      </c>
      <c r="K70" s="22">
        <v>0</v>
      </c>
      <c r="L70" s="22">
        <v>0</v>
      </c>
      <c r="M70" s="22">
        <v>0</v>
      </c>
      <c r="N70" s="26">
        <v>0</v>
      </c>
      <c r="O70" s="22">
        <v>0</v>
      </c>
      <c r="P70" s="34">
        <f t="shared" si="2"/>
        <v>0</v>
      </c>
      <c r="Q70" s="34">
        <f t="shared" si="3"/>
        <v>0</v>
      </c>
    </row>
    <row r="71" spans="1:17" s="12" customFormat="1" x14ac:dyDescent="0.25">
      <c r="A71" s="20">
        <f t="shared" si="7"/>
        <v>0.90624999999999889</v>
      </c>
      <c r="B71" s="21" t="s">
        <v>4</v>
      </c>
      <c r="C71" s="20">
        <f t="shared" si="8"/>
        <v>0.91666666666666552</v>
      </c>
      <c r="D71" s="22">
        <v>2</v>
      </c>
      <c r="E71" s="26">
        <v>0</v>
      </c>
      <c r="F71" s="26">
        <v>0</v>
      </c>
      <c r="G71" s="26">
        <v>0</v>
      </c>
      <c r="H71" s="26">
        <v>0</v>
      </c>
      <c r="I71" s="32">
        <f t="shared" si="0"/>
        <v>2</v>
      </c>
      <c r="J71" s="32">
        <f t="shared" si="1"/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34">
        <f t="shared" si="2"/>
        <v>0</v>
      </c>
      <c r="Q71" s="34">
        <f t="shared" si="3"/>
        <v>0</v>
      </c>
    </row>
    <row r="72" spans="1:17" s="12" customFormat="1" ht="13" x14ac:dyDescent="0.3">
      <c r="A72" s="24" t="s">
        <v>5</v>
      </c>
      <c r="B72" s="24"/>
      <c r="C72" s="24"/>
      <c r="D72" s="27">
        <f t="shared" ref="D72:Q72" si="9">SUM(D12:D71)</f>
        <v>2015</v>
      </c>
      <c r="E72" s="27">
        <f t="shared" si="9"/>
        <v>1808</v>
      </c>
      <c r="F72" s="27">
        <f t="shared" si="9"/>
        <v>154</v>
      </c>
      <c r="G72" s="27">
        <f t="shared" si="9"/>
        <v>5</v>
      </c>
      <c r="H72" s="27">
        <f t="shared" si="9"/>
        <v>277</v>
      </c>
      <c r="I72" s="33">
        <f t="shared" si="9"/>
        <v>2169</v>
      </c>
      <c r="J72" s="33">
        <f t="shared" si="9"/>
        <v>2090</v>
      </c>
      <c r="K72" s="27">
        <f t="shared" si="9"/>
        <v>310</v>
      </c>
      <c r="L72" s="27">
        <f t="shared" si="9"/>
        <v>342</v>
      </c>
      <c r="M72" s="27">
        <f t="shared" si="9"/>
        <v>371</v>
      </c>
      <c r="N72" s="27">
        <f t="shared" si="9"/>
        <v>59</v>
      </c>
      <c r="O72" s="27">
        <f t="shared" si="9"/>
        <v>282</v>
      </c>
      <c r="P72" s="33">
        <f t="shared" si="9"/>
        <v>681</v>
      </c>
      <c r="Q72" s="33">
        <f t="shared" si="9"/>
        <v>683</v>
      </c>
    </row>
    <row r="73" spans="1:17" s="12" customFormat="1" x14ac:dyDescent="0.25">
      <c r="A73" s="1"/>
      <c r="C73" s="1"/>
      <c r="D73" s="1"/>
      <c r="E73" s="1"/>
      <c r="I73" s="12">
        <f>SUM(I72:J72)</f>
        <v>4259</v>
      </c>
      <c r="P73" s="12">
        <f>SUM(P72:Q72)</f>
        <v>1364</v>
      </c>
    </row>
    <row r="74" spans="1:17" s="12" customFormat="1" x14ac:dyDescent="0.25">
      <c r="A74" s="1"/>
      <c r="C74" s="1"/>
      <c r="D74" s="1"/>
      <c r="E74" s="1"/>
      <c r="H74" s="1"/>
      <c r="I74" s="12">
        <f>SUM(I28:J59)</f>
        <v>3615</v>
      </c>
      <c r="J74" s="1"/>
      <c r="P74" s="12">
        <f>SUM(P28:Q59)</f>
        <v>1063</v>
      </c>
    </row>
    <row r="75" spans="1:17" s="12" customFormat="1" x14ac:dyDescent="0.25">
      <c r="A75" s="1"/>
      <c r="C75" s="1"/>
      <c r="D75" s="1"/>
      <c r="E75" s="1"/>
      <c r="H75" s="1"/>
      <c r="I75" s="1"/>
      <c r="J75" s="1"/>
    </row>
    <row r="76" spans="1:17" s="12" customFormat="1" x14ac:dyDescent="0.25">
      <c r="A76" s="1"/>
      <c r="C76" s="1"/>
      <c r="D76" s="1"/>
      <c r="E76" s="1"/>
      <c r="H76" s="1"/>
      <c r="I76" s="1"/>
      <c r="J76" s="1"/>
    </row>
    <row r="77" spans="1:17" s="12" customFormat="1" x14ac:dyDescent="0.25">
      <c r="A77" s="1"/>
      <c r="C77" s="1"/>
      <c r="D77" s="1"/>
      <c r="E77" s="1"/>
      <c r="H77" s="1"/>
      <c r="I77" s="1"/>
      <c r="J77" s="1"/>
    </row>
    <row r="78" spans="1:17" s="12" customFormat="1" x14ac:dyDescent="0.25">
      <c r="A78" s="1"/>
      <c r="C78" s="1"/>
      <c r="D78" s="1"/>
      <c r="E78" s="1"/>
      <c r="H78" s="1"/>
      <c r="I78" s="1"/>
      <c r="J78" s="1"/>
    </row>
    <row r="79" spans="1:17" s="12" customFormat="1" x14ac:dyDescent="0.25">
      <c r="A79" s="1"/>
      <c r="C79" s="1"/>
      <c r="D79" s="1"/>
      <c r="E79" s="1"/>
      <c r="H79" s="1"/>
      <c r="I79" s="1"/>
      <c r="J79" s="1"/>
    </row>
    <row r="80" spans="1:17" s="12" customFormat="1" x14ac:dyDescent="0.25">
      <c r="A80" s="1"/>
      <c r="C80" s="1"/>
      <c r="D80" s="1"/>
      <c r="E80" s="1"/>
      <c r="H80" s="1"/>
      <c r="I80" s="1"/>
      <c r="J80" s="1"/>
    </row>
    <row r="81" spans="15:17" x14ac:dyDescent="0.25">
      <c r="O81" s="12"/>
      <c r="P81" s="12"/>
      <c r="Q81" s="12"/>
    </row>
    <row r="82" spans="15:17" x14ac:dyDescent="0.25">
      <c r="O82" s="12"/>
      <c r="P82" s="12"/>
      <c r="Q82" s="12"/>
    </row>
    <row r="83" spans="15:17" x14ac:dyDescent="0.25">
      <c r="O83" s="12"/>
      <c r="P83" s="12"/>
      <c r="Q83" s="12"/>
    </row>
    <row r="84" spans="15:17" x14ac:dyDescent="0.25">
      <c r="O84" s="12"/>
      <c r="P84" s="12"/>
      <c r="Q84" s="12"/>
    </row>
    <row r="85" spans="15:17" x14ac:dyDescent="0.25">
      <c r="O85" s="12"/>
      <c r="P85" s="12"/>
      <c r="Q85" s="12"/>
    </row>
    <row r="86" spans="15:17" x14ac:dyDescent="0.25">
      <c r="O86" s="12"/>
      <c r="P86" s="12"/>
      <c r="Q86" s="12"/>
    </row>
    <row r="87" spans="15:17" x14ac:dyDescent="0.25">
      <c r="O87" s="12"/>
      <c r="P87" s="12"/>
      <c r="Q87" s="12"/>
    </row>
    <row r="88" spans="15:17" x14ac:dyDescent="0.25">
      <c r="O88" s="12"/>
      <c r="P88" s="12"/>
      <c r="Q88" s="12"/>
    </row>
    <row r="89" spans="15:17" x14ac:dyDescent="0.25">
      <c r="O89" s="12"/>
      <c r="P89" s="12"/>
      <c r="Q89" s="12"/>
    </row>
    <row r="90" spans="15:17" x14ac:dyDescent="0.25">
      <c r="O90" s="12"/>
      <c r="P90" s="12"/>
      <c r="Q90" s="12"/>
    </row>
    <row r="91" spans="15:17" x14ac:dyDescent="0.25">
      <c r="O91" s="12"/>
      <c r="P91" s="12"/>
      <c r="Q91" s="12"/>
    </row>
    <row r="92" spans="15:17" x14ac:dyDescent="0.25">
      <c r="O92" s="12"/>
      <c r="P92" s="12"/>
      <c r="Q92" s="12"/>
    </row>
    <row r="93" spans="15:17" x14ac:dyDescent="0.25">
      <c r="O93" s="12"/>
      <c r="P93" s="12"/>
      <c r="Q93" s="12"/>
    </row>
    <row r="94" spans="15:17" x14ac:dyDescent="0.25">
      <c r="O94" s="12"/>
      <c r="P94" s="12"/>
      <c r="Q94" s="12"/>
    </row>
    <row r="95" spans="15:17" x14ac:dyDescent="0.25">
      <c r="O95" s="12"/>
      <c r="P95" s="12"/>
      <c r="Q95" s="12"/>
    </row>
    <row r="96" spans="15:17" x14ac:dyDescent="0.25">
      <c r="O96" s="12"/>
      <c r="P96" s="12"/>
      <c r="Q96" s="12"/>
    </row>
    <row r="97" spans="15:17" x14ac:dyDescent="0.25">
      <c r="O97" s="12"/>
      <c r="P97" s="12"/>
      <c r="Q97" s="12"/>
    </row>
    <row r="98" spans="15:17" x14ac:dyDescent="0.25">
      <c r="O98" s="12"/>
      <c r="P98" s="12"/>
      <c r="Q98" s="12"/>
    </row>
    <row r="99" spans="15:17" x14ac:dyDescent="0.25">
      <c r="O99" s="12"/>
      <c r="P99" s="12"/>
      <c r="Q99" s="12"/>
    </row>
    <row r="100" spans="15:17" x14ac:dyDescent="0.25">
      <c r="O100" s="12"/>
      <c r="P100" s="12"/>
      <c r="Q100" s="12"/>
    </row>
    <row r="101" spans="15:17" x14ac:dyDescent="0.25">
      <c r="O101" s="12"/>
      <c r="P101" s="12"/>
      <c r="Q101" s="12"/>
    </row>
    <row r="102" spans="15:17" x14ac:dyDescent="0.25">
      <c r="O102" s="12"/>
      <c r="P102" s="12"/>
      <c r="Q102" s="12"/>
    </row>
    <row r="103" spans="15:17" x14ac:dyDescent="0.25">
      <c r="O103" s="12"/>
      <c r="P103" s="12"/>
      <c r="Q103" s="12"/>
    </row>
    <row r="104" spans="15:17" x14ac:dyDescent="0.25">
      <c r="O104" s="12"/>
      <c r="P104" s="12"/>
      <c r="Q104" s="12"/>
    </row>
    <row r="105" spans="15:17" x14ac:dyDescent="0.25">
      <c r="O105" s="12"/>
      <c r="P105" s="12"/>
      <c r="Q105" s="12"/>
    </row>
    <row r="106" spans="15:17" x14ac:dyDescent="0.25">
      <c r="O106" s="12"/>
      <c r="P106" s="12"/>
      <c r="Q106" s="12"/>
    </row>
    <row r="107" spans="15:17" x14ac:dyDescent="0.25">
      <c r="O107" s="12"/>
      <c r="P107" s="12"/>
      <c r="Q107" s="12"/>
    </row>
    <row r="108" spans="15:17" x14ac:dyDescent="0.25">
      <c r="O108" s="12"/>
      <c r="P108" s="12"/>
      <c r="Q108" s="12"/>
    </row>
    <row r="109" spans="15:17" x14ac:dyDescent="0.25">
      <c r="O109" s="12"/>
      <c r="P109" s="12"/>
      <c r="Q109" s="12"/>
    </row>
    <row r="110" spans="15:17" x14ac:dyDescent="0.25">
      <c r="O110" s="12"/>
      <c r="P110" s="12"/>
      <c r="Q110" s="12"/>
    </row>
    <row r="111" spans="15:17" x14ac:dyDescent="0.25">
      <c r="O111" s="12"/>
      <c r="P111" s="12"/>
      <c r="Q111" s="12"/>
    </row>
    <row r="112" spans="15:17" x14ac:dyDescent="0.25">
      <c r="O112" s="12"/>
      <c r="P112" s="12"/>
      <c r="Q112" s="12"/>
    </row>
    <row r="113" spans="15:17" x14ac:dyDescent="0.25">
      <c r="O113" s="12"/>
      <c r="P113" s="12"/>
      <c r="Q113" s="12"/>
    </row>
    <row r="114" spans="15:17" x14ac:dyDescent="0.25">
      <c r="O114" s="12"/>
      <c r="P114" s="12"/>
      <c r="Q114" s="12"/>
    </row>
    <row r="115" spans="15:17" x14ac:dyDescent="0.25">
      <c r="O115" s="12"/>
      <c r="P115" s="12"/>
      <c r="Q115" s="12"/>
    </row>
    <row r="116" spans="15:17" x14ac:dyDescent="0.25">
      <c r="O116" s="12"/>
      <c r="P116" s="12"/>
      <c r="Q116" s="12"/>
    </row>
    <row r="117" spans="15:17" x14ac:dyDescent="0.25">
      <c r="O117" s="12"/>
      <c r="P117" s="12"/>
      <c r="Q117" s="12"/>
    </row>
    <row r="118" spans="15:17" x14ac:dyDescent="0.25">
      <c r="O118" s="12"/>
      <c r="P118" s="12"/>
      <c r="Q118" s="12"/>
    </row>
    <row r="119" spans="15:17" x14ac:dyDescent="0.25">
      <c r="O119" s="12"/>
      <c r="P119" s="12"/>
      <c r="Q119" s="12"/>
    </row>
    <row r="120" spans="15:17" x14ac:dyDescent="0.25">
      <c r="O120" s="12"/>
      <c r="P120" s="12"/>
      <c r="Q120" s="12"/>
    </row>
    <row r="121" spans="15:17" x14ac:dyDescent="0.25">
      <c r="O121" s="12"/>
      <c r="P121" s="12"/>
      <c r="Q121" s="12"/>
    </row>
    <row r="122" spans="15:17" x14ac:dyDescent="0.25">
      <c r="O122" s="12"/>
      <c r="P122" s="12"/>
      <c r="Q122" s="12"/>
    </row>
    <row r="123" spans="15:17" x14ac:dyDescent="0.25">
      <c r="O123" s="12"/>
      <c r="P123" s="12"/>
      <c r="Q123" s="12"/>
    </row>
    <row r="124" spans="15:17" x14ac:dyDescent="0.25">
      <c r="O124" s="12"/>
      <c r="P124" s="12"/>
      <c r="Q124" s="12"/>
    </row>
    <row r="125" spans="15:17" x14ac:dyDescent="0.25">
      <c r="O125" s="12"/>
      <c r="P125" s="12"/>
      <c r="Q125" s="12"/>
    </row>
    <row r="126" spans="15:17" x14ac:dyDescent="0.25">
      <c r="O126" s="12"/>
      <c r="P126" s="12"/>
      <c r="Q126" s="12"/>
    </row>
    <row r="127" spans="15:17" x14ac:dyDescent="0.25">
      <c r="O127" s="12"/>
      <c r="P127" s="12"/>
      <c r="Q127" s="12"/>
    </row>
    <row r="128" spans="15:17" x14ac:dyDescent="0.25">
      <c r="O128" s="12"/>
      <c r="P128" s="12"/>
      <c r="Q128" s="12"/>
    </row>
    <row r="129" spans="15:17" x14ac:dyDescent="0.25">
      <c r="O129" s="12"/>
      <c r="P129" s="12"/>
      <c r="Q129" s="12"/>
    </row>
    <row r="130" spans="15:17" x14ac:dyDescent="0.25">
      <c r="O130" s="12"/>
      <c r="P130" s="12"/>
      <c r="Q130" s="12"/>
    </row>
    <row r="131" spans="15:17" x14ac:dyDescent="0.25">
      <c r="O131" s="12"/>
      <c r="P131" s="12"/>
      <c r="Q131" s="12"/>
    </row>
    <row r="132" spans="15:17" x14ac:dyDescent="0.25">
      <c r="O132" s="12"/>
      <c r="P132" s="12"/>
      <c r="Q132" s="12"/>
    </row>
    <row r="133" spans="15:17" x14ac:dyDescent="0.25">
      <c r="O133" s="12"/>
      <c r="P133" s="12"/>
      <c r="Q133" s="12"/>
    </row>
    <row r="134" spans="15:17" x14ac:dyDescent="0.25">
      <c r="O134" s="12"/>
      <c r="P134" s="12"/>
      <c r="Q134" s="12"/>
    </row>
    <row r="135" spans="15:17" x14ac:dyDescent="0.25">
      <c r="O135" s="12"/>
      <c r="P135" s="12"/>
      <c r="Q135" s="12"/>
    </row>
    <row r="136" spans="15:17" x14ac:dyDescent="0.25">
      <c r="O136" s="12"/>
      <c r="P136" s="12"/>
      <c r="Q136" s="12"/>
    </row>
    <row r="137" spans="15:17" x14ac:dyDescent="0.25">
      <c r="O137" s="12"/>
      <c r="P137" s="12"/>
      <c r="Q137" s="12"/>
    </row>
    <row r="138" spans="15:17" x14ac:dyDescent="0.25">
      <c r="O138" s="12"/>
      <c r="P138" s="12"/>
      <c r="Q138" s="12"/>
    </row>
    <row r="139" spans="15:17" x14ac:dyDescent="0.25">
      <c r="O139" s="12"/>
      <c r="P139" s="12"/>
      <c r="Q139" s="12"/>
    </row>
    <row r="140" spans="15:17" x14ac:dyDescent="0.25">
      <c r="O140" s="12"/>
      <c r="P140" s="12"/>
      <c r="Q140" s="12"/>
    </row>
    <row r="141" spans="15:17" x14ac:dyDescent="0.25">
      <c r="O141" s="12"/>
      <c r="P141" s="12"/>
      <c r="Q141" s="12"/>
    </row>
    <row r="142" spans="15:17" x14ac:dyDescent="0.25">
      <c r="O142" s="12"/>
      <c r="P142" s="12"/>
      <c r="Q142" s="12"/>
    </row>
    <row r="143" spans="15:17" x14ac:dyDescent="0.25">
      <c r="O143" s="12"/>
      <c r="P143" s="12"/>
      <c r="Q143" s="12"/>
    </row>
    <row r="144" spans="15:17" x14ac:dyDescent="0.25">
      <c r="O144" s="12"/>
      <c r="P144" s="12"/>
      <c r="Q144" s="12"/>
    </row>
    <row r="145" spans="15:17" x14ac:dyDescent="0.25">
      <c r="O145" s="12"/>
      <c r="P145" s="12"/>
      <c r="Q145" s="12"/>
    </row>
    <row r="146" spans="15:17" x14ac:dyDescent="0.25">
      <c r="O146" s="12"/>
      <c r="P146" s="12"/>
      <c r="Q146" s="12"/>
    </row>
    <row r="147" spans="15:17" x14ac:dyDescent="0.25">
      <c r="O147" s="12"/>
      <c r="P147" s="12"/>
      <c r="Q147" s="12"/>
    </row>
    <row r="148" spans="15:17" x14ac:dyDescent="0.25">
      <c r="O148" s="12"/>
      <c r="P148" s="12"/>
      <c r="Q148" s="12"/>
    </row>
    <row r="149" spans="15:17" x14ac:dyDescent="0.25">
      <c r="O149" s="12"/>
      <c r="P149" s="12"/>
      <c r="Q149" s="12"/>
    </row>
    <row r="150" spans="15:17" x14ac:dyDescent="0.25">
      <c r="O150" s="12"/>
      <c r="P150" s="12"/>
      <c r="Q150" s="12"/>
    </row>
    <row r="151" spans="15:17" x14ac:dyDescent="0.25">
      <c r="O151" s="12"/>
      <c r="P151" s="12"/>
      <c r="Q151" s="12"/>
    </row>
    <row r="152" spans="15:17" x14ac:dyDescent="0.25">
      <c r="O152" s="12"/>
      <c r="P152" s="12"/>
      <c r="Q152" s="12"/>
    </row>
    <row r="153" spans="15:17" x14ac:dyDescent="0.25">
      <c r="O153" s="12"/>
      <c r="P153" s="12"/>
      <c r="Q153" s="12"/>
    </row>
    <row r="154" spans="15:17" x14ac:dyDescent="0.25">
      <c r="O154" s="12"/>
      <c r="P154" s="12"/>
      <c r="Q154" s="12"/>
    </row>
    <row r="155" spans="15:17" x14ac:dyDescent="0.25">
      <c r="O155" s="12"/>
      <c r="P155" s="12"/>
      <c r="Q155" s="12"/>
    </row>
  </sheetData>
  <sheetProtection formatCells="0" formatColumns="0" formatRows="0" insertColumns="0" insertRows="0" insertHyperlinks="0" deleteColumns="0" deleteRows="0" sort="0" autoFilter="0" pivotTables="0"/>
  <mergeCells count="12">
    <mergeCell ref="A1:AP1"/>
    <mergeCell ref="B4:E4"/>
    <mergeCell ref="D6:E6"/>
    <mergeCell ref="A9:C11"/>
    <mergeCell ref="D10:E10"/>
    <mergeCell ref="K10:L10"/>
    <mergeCell ref="P10:Q10"/>
    <mergeCell ref="I10:J10"/>
    <mergeCell ref="F10:G10"/>
    <mergeCell ref="M10:N10"/>
    <mergeCell ref="D9:J9"/>
    <mergeCell ref="K9:Q9"/>
  </mergeCell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>&lt;arabianhorse&gt;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Viktor</dc:creator>
  <cp:keywords/>
  <dc:description/>
  <cp:lastModifiedBy>Jesse Coleman</cp:lastModifiedBy>
  <dcterms:created xsi:type="dcterms:W3CDTF">2014-01-24T15:27:44Z</dcterms:created>
  <dcterms:modified xsi:type="dcterms:W3CDTF">2021-06-16T05:04:51Z</dcterms:modified>
  <cp:category/>
</cp:coreProperties>
</file>